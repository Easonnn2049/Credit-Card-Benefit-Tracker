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6b6be7c1b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bce4e7ba614fd3"/>
    <x:sheet xmlns:r="http://schemas.openxmlformats.org/officeDocument/2006/relationships" name="Cards" sheetId="2" r:id="R5a391a9167db49d3"/>
    <x:sheet xmlns:r="http://schemas.openxmlformats.org/officeDocument/2006/relationships" name="Benefits Master" sheetId="3" r:id="R3632dece0be14dad"/>
    <x:sheet xmlns:r="http://schemas.openxmlformats.org/officeDocument/2006/relationships" name="Benefit Usage Log" sheetId="4" r:id="Rfcd93aa7d3f74ed1"/>
    <x:sheet xmlns:r="http://schemas.openxmlformats.org/officeDocument/2006/relationships" name="Current Cycle Tracker" sheetId="5" r:id="R7065b68bcdf64d4d"/>
    <x:sheet xmlns:r="http://schemas.openxmlformats.org/officeDocument/2006/relationships" name="Lists" sheetId="6" r:id="Rce62263cea674804"/>
    <x:sheet xmlns:r="http://schemas.openxmlformats.org/officeDocument/2006/relationships" name="Sources" sheetId="7" r:id="R9bed2d35fe3d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$#,##0.00"/>
    <x:numFmt numFmtId="202" formatCode="yyyy-mm-dd"/>
    <x:numFmt numFmtId="203" formatCode="0.00"/>
    <x:numFmt numFmtId="204" formatCode="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666666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204" fontId="1" fillId="2" borderId="0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351C75"/>
      </x:font>
      <x:fill>
        <x:patternFill>
          <x:bgColor rgb="D9D2E9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351C75"/>
      </x:font>
      <x:fill>
        <x:patternFill>
          <x:bgColor rgb="D9D2E9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351C75"/>
      </x:font>
      <x:fill>
        <x:patternFill>
          <x:bgColor rgb="D9D2E9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351C75"/>
      </x:font>
      <x:fill>
        <x:patternFill>
          <x:bgColor rgb="D9D2E9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351C75"/>
      </x:font>
      <x:fill>
        <x:patternFill>
          <x:bgColor rgb="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152c0892c42e0" /><Relationship Type="http://schemas.openxmlformats.org/officeDocument/2006/relationships/theme" Target="/xl/theme/theme1.xml" Id="R4f8298d816a74c23" /><Relationship Type="http://schemas.openxmlformats.org/officeDocument/2006/relationships/sharedStrings" Target="/xl/sharedStrings.xml" Id="R5446f33ee9f74fac" /><Relationship Type="http://schemas.openxmlformats.org/officeDocument/2006/relationships/worksheet" Target="/xl/worksheets/sheet1.xml" Id="Rb8bce4e7ba614fd3" /><Relationship Type="http://schemas.openxmlformats.org/officeDocument/2006/relationships/worksheet" Target="/xl/worksheets/sheet2.xml" Id="R5a391a9167db49d3" /><Relationship Type="http://schemas.openxmlformats.org/officeDocument/2006/relationships/worksheet" Target="/xl/worksheets/sheet3.xml" Id="R3632dece0be14dad" /><Relationship Type="http://schemas.openxmlformats.org/officeDocument/2006/relationships/worksheet" Target="/xl/worksheets/sheet4.xml" Id="Rfcd93aa7d3f74ed1" /><Relationship Type="http://schemas.openxmlformats.org/officeDocument/2006/relationships/worksheet" Target="/xl/worksheets/sheet5.xml" Id="R7065b68bcdf64d4d" /><Relationship Type="http://schemas.openxmlformats.org/officeDocument/2006/relationships/worksheet" Target="/xl/worksheets/sheet6.xml" Id="Rce62263cea674804" /><Relationship Type="http://schemas.openxmlformats.org/officeDocument/2006/relationships/worksheet" Target="/xl/worksheets/sheet7.xml" Id="R9bed2d35fe3d4f81" /></Relationships>
</file>

<file path=xl/tables/table1.xml><?xml version="1.0" encoding="utf-8"?>
<x:table xmlns:x="http://schemas.openxmlformats.org/spreadsheetml/2006/main" id="2" name="CardsTable" displayName="CardsTable" ref="A1:L13" headerRowCount="1">
  <x:tableColumns count="12">
    <x:tableColumn id="1" name="Card ID"/>
    <x:tableColumn id="2" name="Owner"/>
    <x:tableColumn id="3" name="Card Name"/>
    <x:tableColumn id="4" name="Issuer"/>
    <x:tableColumn id="5" name="Assumed Card Version"/>
    <x:tableColumn id="6" name="Open Date"/>
    <x:tableColumn id="7" name="Annual Fee"/>
    <x:tableColumn id="8" name="Renewal Month"/>
    <x:tableColumn id="9" name="Status"/>
    <x:tableColumn id="10" name="Autopay?"/>
    <x:tableColumn id="11" name="Notes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3" name="BenefitsTable" displayName="BenefitsTable" ref="A1:U71" headerRowCount="1">
  <x:tableColumns count="21">
    <x:tableColumn id="1" name="Benefit ID"/>
    <x:tableColumn id="2" name="Owner"/>
    <x:tableColumn id="3" name="Card ID"/>
    <x:tableColumn id="4" name="Card Name"/>
    <x:tableColumn id="5" name="Benefit Name"/>
    <x:tableColumn id="6" name="Benefit Type"/>
    <x:tableColumn id="7" name="Category"/>
    <x:tableColumn id="8" name="Face Value"/>
    <x:tableColumn id="9" name="Realistic Value"/>
    <x:tableColumn id="10" name="Frequency"/>
    <x:tableColumn id="11" name="Cycle Rule"/>
    <x:tableColumn id="12" name="Expiration Rule"/>
    <x:tableColumn id="13" name="Specific Expiry Date"/>
    <x:tableColumn id="14" name="Alert Days Before Expiry"/>
    <x:tableColumn id="15" name="Track Type"/>
    <x:tableColumn id="16" name="Priority"/>
    <x:tableColumn id="17" name="Include in Alert?"/>
    <x:tableColumn id="18" name="Ease of Use"/>
    <x:tableColumn id="19" name="Notes"/>
    <x:tableColumn id="20" name="Source URL"/>
    <x:tableColumn id="21" name="Review Needed?"/>
  </x:tableColumns>
  <x:tableStyleInfo name="TableStyleMedium2" showRowStripes="1"/>
</x:table>
</file>

<file path=xl/tables/table3.xml><?xml version="1.0" encoding="utf-8"?>
<x:table xmlns:x="http://schemas.openxmlformats.org/spreadsheetml/2006/main" id="4" name="UsageLogTable" displayName="UsageLogTable" ref="A1:K200" headerRowCount="1">
  <x:tableColumns count="11">
    <x:tableColumn id="1" name="Usage ID"/>
    <x:tableColumn id="2" name="Date Used"/>
    <x:tableColumn id="3" name="Owner"/>
    <x:tableColumn id="4" name="Card ID"/>
    <x:tableColumn id="5" name="Benefit ID"/>
    <x:tableColumn id="6" name="Benefit Name"/>
    <x:tableColumn id="7" name="Cycle Period"/>
    <x:tableColumn id="8" name="Amount / Count Used"/>
    <x:tableColumn id="9" name="Fully Used?"/>
    <x:tableColumn id="10" name="Merchant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5" name="CurrentTrackerTable" displayName="CurrentTrackerTable" ref="A1:Q200" headerRowCount="1">
  <x:tableColumns count="17">
    <x:tableColumn id="1" name="Benefit ID"/>
    <x:tableColumn id="2" name="Owner"/>
    <x:tableColumn id="3" name="Card Name"/>
    <x:tableColumn id="4" name="Benefit Name"/>
    <x:tableColumn id="5" name="Frequency"/>
    <x:tableColumn id="6" name="Cycle Rule"/>
    <x:tableColumn id="7" name="Current Cycle"/>
    <x:tableColumn id="8" name="Expiry Date"/>
    <x:tableColumn id="9" name="Face Value"/>
    <x:tableColumn id="10" name="Amount / Count Used"/>
    <x:tableColumn id="11" name="Remaining"/>
    <x:tableColumn id="12" name="Usage %"/>
    <x:tableColumn id="13" name="Status"/>
    <x:tableColumn id="14" name="Days Until Expiry"/>
    <x:tableColumn id="15" name="Priority"/>
    <x:tableColumn id="16" name="Include in Alert?"/>
    <x:tableColumn id="17" name="Notes"/>
  </x:tableColumns>
  <x:tableStyleInfo name="TableStyleMedium2" showRowStripes="1"/>
</x:table>
</file>

<file path=xl/tables/table5.xml><?xml version="1.0" encoding="utf-8"?>
<x:table xmlns:x="http://schemas.openxmlformats.org/spreadsheetml/2006/main" id="1" name="SourcesTable" displayName="SourcesTable" ref="A1:D10" headerRowCount="1">
  <x:tableColumns count="4">
    <x:tableColumn id="1" name="Source ID"/>
    <x:tableColumn id="2" name="Issuer / Card"/>
    <x:tableColumn id="3" name="Source 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0bc0020781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bcee0ed3cd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e85ae0d9964c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40194cef9a45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de0b18518654b5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0" hidden="0" customWidth="1"/>
    <x:col min="10" max="10" width="16" hidden="0" customWidth="1"/>
    <x:col min="11" max="11" width="12" hidden="0" customWidth="1"/>
    <x:col min="12" max="12" width="55" hidden="0" customWidth="1"/>
  </x:cols>
  <x:sheetData>
    <x:row r="1">
      <x:c r="A1" s="36" t="str">
        <x:v>Credit Card Benefit Tracker — Current Cycle Dashboard</x:v>
      </x:c>
      <x:c r="B1" s="37"/>
      <x:c r="C1" s="37"/>
      <x:c r="D1" s="40"/>
      <x:c r="E1" s="42"/>
      <x:c r="F1" s="42"/>
      <x:c r="G1" s="42"/>
      <x:c r="H1" s="44"/>
      <x:c r="I1" s="37"/>
      <x:c r="J1" s="37"/>
      <x:c r="K1" s="37"/>
      <x:c r="L1" s="37"/>
    </x:row>
    <x:row r="2">
      <x:c r="A2" s="27" t="str">
        <x:v>Use this tab as your checklist. Enter usage in Benefit Usage Log; this dashboard updates by current cycle. Cards/benefits marked Review Needed should be verified and edited.</x:v>
      </x:c>
    </x:row>
    <x:row r="4">
      <x:c r="A4" s="32" t="str">
        <x:v>Person 1 Benefits</x:v>
      </x:c>
    </x:row>
    <x:row r="5">
      <x:c r="A5" s="6" t="str">
        <x:v>Card</x:v>
      </x:c>
      <x:c r="B5" s="6" t="str">
        <x:v>Benefit</x:v>
      </x:c>
      <x:c r="C5" s="6" t="str">
        <x:v>Cycle</x:v>
      </x:c>
      <x:c r="D5" s="6" t="str">
        <x:v>Due Date</x:v>
      </x:c>
      <x:c r="E5" s="6" t="str">
        <x:v>Value</x:v>
      </x:c>
      <x:c r="F5" s="6" t="str">
        <x:v>Used</x:v>
      </x:c>
      <x:c r="G5" s="6" t="str">
        <x:v>Remaining</x:v>
      </x:c>
      <x:c r="H5" s="6" t="str">
        <x:v>Progress</x:v>
      </x:c>
      <x:c r="I5" s="6" t="str">
        <x:v>Check</x:v>
      </x:c>
      <x:c r="J5" s="6" t="str">
        <x:v>Status</x:v>
      </x:c>
      <x:c r="K5" s="6" t="str">
        <x:v>Days Left</x:v>
      </x:c>
      <x:c r="L5" s="6" t="str">
        <x:v>Notes</x:v>
      </x:c>
    </x:row>
    <x:row r="6">
      <x:c r="A6" t="str">
        <x:f>IFERROR(INDEX(FILTER('Current Cycle Tracker'!$C$2:$C$200,('Current Cycle Tracker'!$B$2:$B$200="Person 1")*('Current Cycle Tracker'!$P$2:$P$200="Yes")),ROWS($A$6:A6)),"")</x:f>
        <x:v>American Express Gold Card</x:v>
      </x:c>
      <x:c r="B6" t="str">
        <x:f>IFERROR(INDEX(FILTER('Current Cycle Tracker'!$D$2:$D$200,('Current Cycle Tracker'!$B$2:$B$200="Person 1")*('Current Cycle Tracker'!$P$2:$P$200="Yes")),ROWS($A$6:A6)),"")</x:f>
        <x:v>Uber Cash</x:v>
      </x:c>
      <x:c r="C6" t="str">
        <x:f>IFERROR(INDEX(FILTER('Current Cycle Tracker'!$G$2:$G$200,('Current Cycle Tracker'!$B$2:$B$200="Person 1")*('Current Cycle Tracker'!$P$2:$P$200="Yes")),ROWS($A$6:A6)),"")</x:f>
        <x:v>2026-05</x:v>
      </x:c>
      <x:c r="D6" t="n">
        <x:f>IFERROR(INDEX(FILTER('Current Cycle Tracker'!$H$2:$H$200,('Current Cycle Tracker'!$B$2:$B$200="Person 1")*('Current Cycle Tracker'!$P$2:$P$200="Yes")),ROWS($A$6:A6)),"")</x:f>
        <x:v>46173</x:v>
      </x:c>
      <x:c r="E6" t="n">
        <x:f>IFERROR(INDEX(FILTER('Current Cycle Tracker'!$I$2:$I$200,('Current Cycle Tracker'!$B$2:$B$200="Person 1")*('Current Cycle Tracker'!$P$2:$P$200="Yes")),ROWS($A$6:A6)),"")</x:f>
        <x:v>10</x:v>
      </x:c>
      <x:c r="F6" t="n">
        <x:f>IFERROR(INDEX(FILTER('Current Cycle Tracker'!$J$2:$J$200,('Current Cycle Tracker'!$B$2:$B$200="Person 1")*('Current Cycle Tracker'!$P$2:$P$200="Yes")),ROWS($A$6:A6)),"")</x:f>
        <x:v>10</x:v>
      </x:c>
      <x:c r="G6" t="n">
        <x:f>IFERROR(INDEX(FILTER('Current Cycle Tracker'!$K$2:$K$200,('Current Cycle Tracker'!$B$2:$B$200="Person 1")*('Current Cycle Tracker'!$P$2:$P$200="Yes")),ROWS($A$6:A6)),"")</x:f>
        <x:v>0</x:v>
      </x:c>
      <x:c r="H6" t="n">
        <x:f>IFERROR(INDEX(FILTER('Current Cycle Tracker'!$L$2:$L$200,('Current Cycle Tracker'!$B$2:$B$200="Person 1")*('Current Cycle Tracker'!$P$2:$P$200="Yes")),ROWS($A$6:A6)),"")</x:f>
        <x:v>1</x:v>
      </x:c>
      <x:c r="I6" t="str">
        <x:f>IF(H6="","",IF(H6&gt;=1,"✅","☐"))</x:f>
        <x:v>✅</x:v>
      </x:c>
      <x:c r="J6" t="str">
        <x:f>IFERROR(INDEX(FILTER('Current Cycle Tracker'!$M$2:$M$200,('Current Cycle Tracker'!$B$2:$B$200="Person 1")*('Current Cycle Tracker'!$P$2:$P$200="Yes")),ROWS($A$6:A6)),"")</x:f>
        <x:v>Used</x:v>
      </x:c>
      <x:c r="K6" t="n">
        <x:f>IFERROR(INDEX(FILTER('Current Cycle Tracker'!$N$2:$N$200,('Current Cycle Tracker'!$B$2:$B$200="Person 1")*('Current Cycle Tracker'!$P$2:$P$200="Yes")),ROWS($A$6:A6)),"")</x:f>
        <x:v>29</x:v>
      </x:c>
      <x:c r="L6" t="str">
        <x:f>IFERROR(INDEX(FILTER('Current Cycle Tracker'!$Q$2:$Q$200,('Current Cycle Tracker'!$B$2:$B$200="Person 1")*('Current Cycle Tracker'!$P$2:$P$200="Yes")),ROWS($A$6:A6)),"")</x:f>
        <x:v>$10 monthly Uber Cash; add card to Uber account.</x:v>
      </x:c>
    </x:row>
    <x:row r="7">
      <x:c r="A7" t="str">
        <x:f>IFERROR(INDEX(FILTER('Current Cycle Tracker'!$C$2:$C$200,('Current Cycle Tracker'!$B$2:$B$200="Person 1")*('Current Cycle Tracker'!$P$2:$P$200="Yes")),ROWS($A$6:A7)),"")</x:f>
        <x:v>American Express Gold Card</x:v>
      </x:c>
      <x:c r="B7" t="str">
        <x:f>IFERROR(INDEX(FILTER('Current Cycle Tracker'!$D$2:$D$200,('Current Cycle Tracker'!$B$2:$B$200="Person 1")*('Current Cycle Tracker'!$P$2:$P$200="Yes")),ROWS($A$6:A7)),"")</x:f>
        <x:v>Dining Credit</x:v>
      </x:c>
      <x:c r="C7" t="str">
        <x:f>IFERROR(INDEX(FILTER('Current Cycle Tracker'!$G$2:$G$200,('Current Cycle Tracker'!$B$2:$B$200="Person 1")*('Current Cycle Tracker'!$P$2:$P$200="Yes")),ROWS($A$6:A7)),"")</x:f>
        <x:v>2026-05</x:v>
      </x:c>
      <x:c r="D7" t="n">
        <x:f>IFERROR(INDEX(FILTER('Current Cycle Tracker'!$H$2:$H$200,('Current Cycle Tracker'!$B$2:$B$200="Person 1")*('Current Cycle Tracker'!$P$2:$P$200="Yes")),ROWS($A$6:A7)),"")</x:f>
        <x:v>46173</x:v>
      </x:c>
      <x:c r="E7" t="n">
        <x:f>IFERROR(INDEX(FILTER('Current Cycle Tracker'!$I$2:$I$200,('Current Cycle Tracker'!$B$2:$B$200="Person 1")*('Current Cycle Tracker'!$P$2:$P$200="Yes")),ROWS($A$6:A7)),"")</x:f>
        <x:v>10</x:v>
      </x:c>
      <x:c r="F7" t="n">
        <x:f>IFERROR(INDEX(FILTER('Current Cycle Tracker'!$J$2:$J$200,('Current Cycle Tracker'!$B$2:$B$200="Person 1")*('Current Cycle Tracker'!$P$2:$P$200="Yes")),ROWS($A$6:A7)),"")</x:f>
        <x:v>0</x:v>
      </x:c>
      <x:c r="G7" t="n">
        <x:f>IFERROR(INDEX(FILTER('Current Cycle Tracker'!$K$2:$K$200,('Current Cycle Tracker'!$B$2:$B$200="Person 1")*('Current Cycle Tracker'!$P$2:$P$200="Yes")),ROWS($A$6:A7)),"")</x:f>
        <x:v>10</x:v>
      </x:c>
      <x:c r="H7" t="n">
        <x:f>IFERROR(INDEX(FILTER('Current Cycle Tracker'!$L$2:$L$200,('Current Cycle Tracker'!$B$2:$B$200="Person 1")*('Current Cycle Tracker'!$P$2:$P$200="Yes")),ROWS($A$6:A7)),"")</x:f>
        <x:v>0</x:v>
      </x:c>
      <x:c r="I7" t="str">
        <x:f>IF(H7="","",IF(H7&gt;=1,"✅","☐"))</x:f>
      </x:c>
      <x:c r="J7" t="str">
        <x:f>IFERROR(INDEX(FILTER('Current Cycle Tracker'!$M$2:$M$200,('Current Cycle Tracker'!$B$2:$B$200="Person 1")*('Current Cycle Tracker'!$P$2:$P$200="Yes")),ROWS($A$6:A7)),"")</x:f>
        <x:v>Not Used</x:v>
      </x:c>
      <x:c r="K7" t="n">
        <x:f>IFERROR(INDEX(FILTER('Current Cycle Tracker'!$N$2:$N$200,('Current Cycle Tracker'!$B$2:$B$200="Person 1")*('Current Cycle Tracker'!$P$2:$P$200="Yes")),ROWS($A$6:A7)),"")</x:f>
        <x:v>29</x:v>
      </x:c>
      <x:c r="L7" t="str">
        <x:f>IFERROR(INDEX(FILTER('Current Cycle Tracker'!$Q$2:$Q$200,('Current Cycle Tracker'!$B$2:$B$200="Person 1")*('Current Cycle Tracker'!$P$2:$P$200="Yes")),ROWS($A$6:A7)),"")</x:f>
        <x:v>Monthly dining statement credit at eligible partners; enrollment required.</x:v>
      </x:c>
    </x:row>
    <x:row r="8">
      <x:c r="A8" t="str">
        <x:f>IFERROR(INDEX(FILTER('Current Cycle Tracker'!$C$2:$C$200,('Current Cycle Tracker'!$B$2:$B$200="Person 1")*('Current Cycle Tracker'!$P$2:$P$200="Yes")),ROWS($A$6:A8)),"")</x:f>
        <x:v>American Express Gold Card</x:v>
      </x:c>
      <x:c r="B8" t="str">
        <x:f>IFERROR(INDEX(FILTER('Current Cycle Tracker'!$D$2:$D$200,('Current Cycle Tracker'!$B$2:$B$200="Person 1")*('Current Cycle Tracker'!$P$2:$P$200="Yes")),ROWS($A$6:A8)),"")</x:f>
        <x:v>Dunkin Credit</x:v>
      </x:c>
      <x:c r="C8" t="str">
        <x:f>IFERROR(INDEX(FILTER('Current Cycle Tracker'!$G$2:$G$200,('Current Cycle Tracker'!$B$2:$B$200="Person 1")*('Current Cycle Tracker'!$P$2:$P$200="Yes")),ROWS($A$6:A8)),"")</x:f>
        <x:v>2026-05</x:v>
      </x:c>
      <x:c r="D8" t="n">
        <x:f>IFERROR(INDEX(FILTER('Current Cycle Tracker'!$H$2:$H$200,('Current Cycle Tracker'!$B$2:$B$200="Person 1")*('Current Cycle Tracker'!$P$2:$P$200="Yes")),ROWS($A$6:A8)),"")</x:f>
        <x:v>46173</x:v>
      </x:c>
      <x:c r="E8" t="n">
        <x:f>IFERROR(INDEX(FILTER('Current Cycle Tracker'!$I$2:$I$200,('Current Cycle Tracker'!$B$2:$B$200="Person 1")*('Current Cycle Tracker'!$P$2:$P$200="Yes")),ROWS($A$6:A8)),"")</x:f>
        <x:v>7</x:v>
      </x:c>
      <x:c r="F8" t="n">
        <x:f>IFERROR(INDEX(FILTER('Current Cycle Tracker'!$J$2:$J$200,('Current Cycle Tracker'!$B$2:$B$200="Person 1")*('Current Cycle Tracker'!$P$2:$P$200="Yes")),ROWS($A$6:A8)),"")</x:f>
        <x:v>0</x:v>
      </x:c>
      <x:c r="G8" t="n">
        <x:f>IFERROR(INDEX(FILTER('Current Cycle Tracker'!$K$2:$K$200,('Current Cycle Tracker'!$B$2:$B$200="Person 1")*('Current Cycle Tracker'!$P$2:$P$200="Yes")),ROWS($A$6:A8)),"")</x:f>
        <x:v>7</x:v>
      </x:c>
      <x:c r="H8" t="n">
        <x:f>IFERROR(INDEX(FILTER('Current Cycle Tracker'!$L$2:$L$200,('Current Cycle Tracker'!$B$2:$B$200="Person 1")*('Current Cycle Tracker'!$P$2:$P$200="Yes")),ROWS($A$6:A8)),"")</x:f>
        <x:v>0</x:v>
      </x:c>
      <x:c r="I8" t="str">
        <x:f>IF(H8="","",IF(H8&gt;=1,"✅","☐"))</x:f>
      </x:c>
      <x:c r="J8" t="str">
        <x:f>IFERROR(INDEX(FILTER('Current Cycle Tracker'!$M$2:$M$200,('Current Cycle Tracker'!$B$2:$B$200="Person 1")*('Current Cycle Tracker'!$P$2:$P$200="Yes")),ROWS($A$6:A8)),"")</x:f>
        <x:v>Not Used</x:v>
      </x:c>
      <x:c r="K8" t="n">
        <x:f>IFERROR(INDEX(FILTER('Current Cycle Tracker'!$N$2:$N$200,('Current Cycle Tracker'!$B$2:$B$200="Person 1")*('Current Cycle Tracker'!$P$2:$P$200="Yes")),ROWS($A$6:A8)),"")</x:f>
        <x:v>29</x:v>
      </x:c>
      <x:c r="L8" t="str">
        <x:f>IFERROR(INDEX(FILTER('Current Cycle Tracker'!$Q$2:$Q$200,('Current Cycle Tracker'!$B$2:$B$200="Person 1")*('Current Cycle Tracker'!$P$2:$P$200="Yes")),ROWS($A$6:A8)),"")</x:f>
        <x:v>Up to $7 monthly at U.S. Dunkin locations; enrollment required.</x:v>
      </x:c>
    </x:row>
    <x:row r="9">
      <x:c r="A9" t="str">
        <x:f>IFERROR(INDEX(FILTER('Current Cycle Tracker'!$C$2:$C$200,('Current Cycle Tracker'!$B$2:$B$200="Person 1")*('Current Cycle Tracker'!$P$2:$P$200="Yes")),ROWS($A$6:A9)),"")</x:f>
        <x:v>American Express Gold Card</x:v>
      </x:c>
      <x:c r="B9" t="str">
        <x:f>IFERROR(INDEX(FILTER('Current Cycle Tracker'!$D$2:$D$200,('Current Cycle Tracker'!$B$2:$B$200="Person 1")*('Current Cycle Tracker'!$P$2:$P$200="Yes")),ROWS($A$6:A9)),"")</x:f>
        <x:v>Resy Credit H1</x:v>
      </x:c>
      <x:c r="C9" t="str">
        <x:f>IFERROR(INDEX(FILTER('Current Cycle Tracker'!$G$2:$G$200,('Current Cycle Tracker'!$B$2:$B$200="Person 1")*('Current Cycle Tracker'!$P$2:$P$200="Yes")),ROWS($A$6:A9)),"")</x:f>
        <x:v>2026-H1</x:v>
      </x:c>
      <x:c r="D9" t="n">
        <x:f>IFERROR(INDEX(FILTER('Current Cycle Tracker'!$H$2:$H$200,('Current Cycle Tracker'!$B$2:$B$200="Person 1")*('Current Cycle Tracker'!$P$2:$P$200="Yes")),ROWS($A$6:A9)),"")</x:f>
        <x:v>46203</x:v>
      </x:c>
      <x:c r="E9" t="n">
        <x:f>IFERROR(INDEX(FILTER('Current Cycle Tracker'!$I$2:$I$200,('Current Cycle Tracker'!$B$2:$B$200="Person 1")*('Current Cycle Tracker'!$P$2:$P$200="Yes")),ROWS($A$6:A9)),"")</x:f>
        <x:v>50</x:v>
      </x:c>
      <x:c r="F9" t="n">
        <x:f>IFERROR(INDEX(FILTER('Current Cycle Tracker'!$J$2:$J$200,('Current Cycle Tracker'!$B$2:$B$200="Person 1")*('Current Cycle Tracker'!$P$2:$P$200="Yes")),ROWS($A$6:A9)),"")</x:f>
        <x:v>0</x:v>
      </x:c>
      <x:c r="G9" t="n">
        <x:f>IFERROR(INDEX(FILTER('Current Cycle Tracker'!$K$2:$K$200,('Current Cycle Tracker'!$B$2:$B$200="Person 1")*('Current Cycle Tracker'!$P$2:$P$200="Yes")),ROWS($A$6:A9)),"")</x:f>
        <x:v>50</x:v>
      </x:c>
      <x:c r="H9" t="n">
        <x:f>IFERROR(INDEX(FILTER('Current Cycle Tracker'!$L$2:$L$200,('Current Cycle Tracker'!$B$2:$B$200="Person 1")*('Current Cycle Tracker'!$P$2:$P$200="Yes")),ROWS($A$6:A9)),"")</x:f>
        <x:v>0</x:v>
      </x:c>
      <x:c r="I9" t="str">
        <x:f>IF(H9="","",IF(H9&gt;=1,"✅","☐"))</x:f>
      </x:c>
      <x:c r="J9" t="str">
        <x:f>IFERROR(INDEX(FILTER('Current Cycle Tracker'!$M$2:$M$200,('Current Cycle Tracker'!$B$2:$B$200="Person 1")*('Current Cycle Tracker'!$P$2:$P$200="Yes")),ROWS($A$6:A9)),"")</x:f>
        <x:v>Not Used</x:v>
      </x:c>
      <x:c r="K9" t="n">
        <x:f>IFERROR(INDEX(FILTER('Current Cycle Tracker'!$N$2:$N$200,('Current Cycle Tracker'!$B$2:$B$200="Person 1")*('Current Cycle Tracker'!$P$2:$P$200="Yes")),ROWS($A$6:A9)),"")</x:f>
        <x:v>59</x:v>
      </x:c>
      <x:c r="L9" t="str">
        <x:f>IFERROR(INDEX(FILTER('Current Cycle Tracker'!$Q$2:$Q$200,('Current Cycle Tracker'!$B$2:$B$200="Person 1")*('Current Cycle Tracker'!$P$2:$P$200="Yes")),ROWS($A$6:A9)),"")</x:f>
        <x:v>Up to $50 semi-annually on eligible Resy purchases.</x:v>
      </x:c>
    </x:row>
    <x:row r="10">
      <x:c r="A10" t="str">
        <x:f>IFERROR(INDEX(FILTER('Current Cycle Tracker'!$C$2:$C$200,('Current Cycle Tracker'!$B$2:$B$200="Person 1")*('Current Cycle Tracker'!$P$2:$P$200="Yes")),ROWS($A$6:A10)),"")</x:f>
        <x:v>American Express Gold Card</x:v>
      </x:c>
      <x:c r="B10" t="str">
        <x:f>IFERROR(INDEX(FILTER('Current Cycle Tracker'!$D$2:$D$200,('Current Cycle Tracker'!$B$2:$B$200="Person 1")*('Current Cycle Tracker'!$P$2:$P$200="Yes")),ROWS($A$6:A10)),"")</x:f>
        <x:v>Resy Credit H2</x:v>
      </x:c>
      <x:c r="C10" t="str">
        <x:f>IFERROR(INDEX(FILTER('Current Cycle Tracker'!$G$2:$G$200,('Current Cycle Tracker'!$B$2:$B$200="Person 1")*('Current Cycle Tracker'!$P$2:$P$200="Yes")),ROWS($A$6:A10)),"")</x:f>
        <x:v>2026-H2</x:v>
      </x:c>
      <x:c r="D10" t="n">
        <x:f>IFERROR(INDEX(FILTER('Current Cycle Tracker'!$H$2:$H$200,('Current Cycle Tracker'!$B$2:$B$200="Person 1")*('Current Cycle Tracker'!$P$2:$P$200="Yes")),ROWS($A$6:A10)),"")</x:f>
        <x:v>46387</x:v>
      </x:c>
      <x:c r="E10" t="n">
        <x:f>IFERROR(INDEX(FILTER('Current Cycle Tracker'!$I$2:$I$200,('Current Cycle Tracker'!$B$2:$B$200="Person 1")*('Current Cycle Tracker'!$P$2:$P$200="Yes")),ROWS($A$6:A10)),"")</x:f>
        <x:v>50</x:v>
      </x:c>
      <x:c r="F10" t="n">
        <x:f>IFERROR(INDEX(FILTER('Current Cycle Tracker'!$J$2:$J$200,('Current Cycle Tracker'!$B$2:$B$200="Person 1")*('Current Cycle Tracker'!$P$2:$P$200="Yes")),ROWS($A$6:A10)),"")</x:f>
        <x:v>0</x:v>
      </x:c>
      <x:c r="G10" t="n">
        <x:f>IFERROR(INDEX(FILTER('Current Cycle Tracker'!$K$2:$K$200,('Current Cycle Tracker'!$B$2:$B$200="Person 1")*('Current Cycle Tracker'!$P$2:$P$200="Yes")),ROWS($A$6:A10)),"")</x:f>
        <x:v>50</x:v>
      </x:c>
      <x:c r="H10" t="n">
        <x:f>IFERROR(INDEX(FILTER('Current Cycle Tracker'!$L$2:$L$200,('Current Cycle Tracker'!$B$2:$B$200="Person 1")*('Current Cycle Tracker'!$P$2:$P$200="Yes")),ROWS($A$6:A10)),"")</x:f>
        <x:v>0</x:v>
      </x:c>
      <x:c r="I10" t="str">
        <x:f>IF(H10="","",IF(H10&gt;=1,"✅","☐"))</x:f>
      </x:c>
      <x:c r="J10" t="str">
        <x:f>IFERROR(INDEX(FILTER('Current Cycle Tracker'!$M$2:$M$200,('Current Cycle Tracker'!$B$2:$B$200="Person 1")*('Current Cycle Tracker'!$P$2:$P$200="Yes")),ROWS($A$6:A10)),"")</x:f>
        <x:v>Not Used</x:v>
      </x:c>
      <x:c r="K10" t="n">
        <x:f>IFERROR(INDEX(FILTER('Current Cycle Tracker'!$N$2:$N$200,('Current Cycle Tracker'!$B$2:$B$200="Person 1")*('Current Cycle Tracker'!$P$2:$P$200="Yes")),ROWS($A$6:A10)),"")</x:f>
        <x:v>243</x:v>
      </x:c>
      <x:c r="L10" t="str">
        <x:f>IFERROR(INDEX(FILTER('Current Cycle Tracker'!$Q$2:$Q$200,('Current Cycle Tracker'!$B$2:$B$200="Person 1")*('Current Cycle Tracker'!$P$2:$P$200="Yes")),ROWS($A$6:A10)),"")</x:f>
        <x:v>Up to $50 semi-annually on eligible Resy purchases.</x:v>
      </x:c>
    </x:row>
    <x:row r="11">
      <x:c r="A11" t="str">
        <x:f>IFERROR(INDEX(FILTER('Current Cycle Tracker'!$C$2:$C$200,('Current Cycle Tracker'!$B$2:$B$200="Person 1")*('Current Cycle Tracker'!$P$2:$P$200="Yes")),ROWS($A$6:A11)),"")</x:f>
        <x:v>American Express Platinum Card</x:v>
      </x:c>
      <x:c r="B11" t="str">
        <x:f>IFERROR(INDEX(FILTER('Current Cycle Tracker'!$D$2:$D$200,('Current Cycle Tracker'!$B$2:$B$200="Person 1")*('Current Cycle Tracker'!$P$2:$P$200="Yes")),ROWS($A$6:A11)),"")</x:f>
        <x:v>Uber Cash</x:v>
      </x:c>
      <x:c r="C11" t="str">
        <x:f>IFERROR(INDEX(FILTER('Current Cycle Tracker'!$G$2:$G$200,('Current Cycle Tracker'!$B$2:$B$200="Person 1")*('Current Cycle Tracker'!$P$2:$P$200="Yes")),ROWS($A$6:A11)),"")</x:f>
        <x:v>2026-05</x:v>
      </x:c>
      <x:c r="D11" t="n">
        <x:f>IFERROR(INDEX(FILTER('Current Cycle Tracker'!$H$2:$H$200,('Current Cycle Tracker'!$B$2:$B$200="Person 1")*('Current Cycle Tracker'!$P$2:$P$200="Yes")),ROWS($A$6:A11)),"")</x:f>
        <x:v>46173</x:v>
      </x:c>
      <x:c r="E11" t="n">
        <x:f>IFERROR(INDEX(FILTER('Current Cycle Tracker'!$I$2:$I$200,('Current Cycle Tracker'!$B$2:$B$200="Person 1")*('Current Cycle Tracker'!$P$2:$P$200="Yes")),ROWS($A$6:A11)),"")</x:f>
        <x:v>15</x:v>
      </x:c>
      <x:c r="F11" t="n">
        <x:f>IFERROR(INDEX(FILTER('Current Cycle Tracker'!$J$2:$J$200,('Current Cycle Tracker'!$B$2:$B$200="Person 1")*('Current Cycle Tracker'!$P$2:$P$200="Yes")),ROWS($A$6:A11)),"")</x:f>
        <x:v>0</x:v>
      </x:c>
      <x:c r="G11" t="n">
        <x:f>IFERROR(INDEX(FILTER('Current Cycle Tracker'!$K$2:$K$200,('Current Cycle Tracker'!$B$2:$B$200="Person 1")*('Current Cycle Tracker'!$P$2:$P$200="Yes")),ROWS($A$6:A11)),"")</x:f>
        <x:v>15</x:v>
      </x:c>
      <x:c r="H11" t="n">
        <x:f>IFERROR(INDEX(FILTER('Current Cycle Tracker'!$L$2:$L$200,('Current Cycle Tracker'!$B$2:$B$200="Person 1")*('Current Cycle Tracker'!$P$2:$P$200="Yes")),ROWS($A$6:A11)),"")</x:f>
        <x:v>0</x:v>
      </x:c>
      <x:c r="I11" t="str">
        <x:f>IF(H11="","",IF(H11&gt;=1,"✅","☐"))</x:f>
      </x:c>
      <x:c r="J11" t="str">
        <x:f>IFERROR(INDEX(FILTER('Current Cycle Tracker'!$M$2:$M$200,('Current Cycle Tracker'!$B$2:$B$200="Person 1")*('Current Cycle Tracker'!$P$2:$P$200="Yes")),ROWS($A$6:A11)),"")</x:f>
        <x:v>Not Used</x:v>
      </x:c>
      <x:c r="K11" t="n">
        <x:f>IFERROR(INDEX(FILTER('Current Cycle Tracker'!$N$2:$N$200,('Current Cycle Tracker'!$B$2:$B$200="Person 1")*('Current Cycle Tracker'!$P$2:$P$200="Yes")),ROWS($A$6:A11)),"")</x:f>
        <x:v>29</x:v>
      </x:c>
      <x:c r="L11" t="str">
        <x:f>IFERROR(INDEX(FILTER('Current Cycle Tracker'!$Q$2:$Q$200,('Current Cycle Tracker'!$B$2:$B$200="Person 1")*('Current Cycle Tracker'!$P$2:$P$200="Yes")),ROWS($A$6:A11)),"")</x:f>
        <x:v>$15 monthly Uber Cash; December typically has bonus cash.</x:v>
      </x:c>
    </x:row>
    <x:row r="12">
      <x:c r="A12" t="str">
        <x:f>IFERROR(INDEX(FILTER('Current Cycle Tracker'!$C$2:$C$200,('Current Cycle Tracker'!$B$2:$B$200="Person 1")*('Current Cycle Tracker'!$P$2:$P$200="Yes")),ROWS($A$6:A12)),"")</x:f>
        <x:v>American Express Platinum Card</x:v>
      </x:c>
      <x:c r="B12" t="str">
        <x:f>IFERROR(INDEX(FILTER('Current Cycle Tracker'!$D$2:$D$200,('Current Cycle Tracker'!$B$2:$B$200="Person 1")*('Current Cycle Tracker'!$P$2:$P$200="Yes")),ROWS($A$6:A12)),"")</x:f>
        <x:v>Digital Entertainment Credit</x:v>
      </x:c>
      <x:c r="C12" t="str">
        <x:f>IFERROR(INDEX(FILTER('Current Cycle Tracker'!$G$2:$G$200,('Current Cycle Tracker'!$B$2:$B$200="Person 1")*('Current Cycle Tracker'!$P$2:$P$200="Yes")),ROWS($A$6:A12)),"")</x:f>
        <x:v>2026-05</x:v>
      </x:c>
      <x:c r="D12" t="n">
        <x:f>IFERROR(INDEX(FILTER('Current Cycle Tracker'!$H$2:$H$200,('Current Cycle Tracker'!$B$2:$B$200="Person 1")*('Current Cycle Tracker'!$P$2:$P$200="Yes")),ROWS($A$6:A12)),"")</x:f>
        <x:v>46173</x:v>
      </x:c>
      <x:c r="E12" t="n">
        <x:f>IFERROR(INDEX(FILTER('Current Cycle Tracker'!$I$2:$I$200,('Current Cycle Tracker'!$B$2:$B$200="Person 1")*('Current Cycle Tracker'!$P$2:$P$200="Yes")),ROWS($A$6:A12)),"")</x:f>
        <x:v>25</x:v>
      </x:c>
      <x:c r="F12" t="n">
        <x:f>IFERROR(INDEX(FILTER('Current Cycle Tracker'!$J$2:$J$200,('Current Cycle Tracker'!$B$2:$B$200="Person 1")*('Current Cycle Tracker'!$P$2:$P$200="Yes")),ROWS($A$6:A12)),"")</x:f>
        <x:v>0</x:v>
      </x:c>
      <x:c r="G12" t="n">
        <x:f>IFERROR(INDEX(FILTER('Current Cycle Tracker'!$K$2:$K$200,('Current Cycle Tracker'!$B$2:$B$200="Person 1")*('Current Cycle Tracker'!$P$2:$P$200="Yes")),ROWS($A$6:A12)),"")</x:f>
        <x:v>25</x:v>
      </x:c>
      <x:c r="H12" t="n">
        <x:f>IFERROR(INDEX(FILTER('Current Cycle Tracker'!$L$2:$L$200,('Current Cycle Tracker'!$B$2:$B$200="Person 1")*('Current Cycle Tracker'!$P$2:$P$200="Yes")),ROWS($A$6:A12)),"")</x:f>
        <x:v>0</x:v>
      </x:c>
      <x:c r="I12" t="str">
        <x:f>IF(H12="","",IF(H12&gt;=1,"✅","☐"))</x:f>
      </x:c>
      <x:c r="J12" t="str">
        <x:f>IFERROR(INDEX(FILTER('Current Cycle Tracker'!$M$2:$M$200,('Current Cycle Tracker'!$B$2:$B$200="Person 1")*('Current Cycle Tracker'!$P$2:$P$200="Yes")),ROWS($A$6:A12)),"")</x:f>
        <x:v>Not Used</x:v>
      </x:c>
      <x:c r="K12" t="n">
        <x:f>IFERROR(INDEX(FILTER('Current Cycle Tracker'!$N$2:$N$200,('Current Cycle Tracker'!$B$2:$B$200="Person 1")*('Current Cycle Tracker'!$P$2:$P$200="Yes")),ROWS($A$6:A12)),"")</x:f>
        <x:v>29</x:v>
      </x:c>
      <x:c r="L12" t="str">
        <x:f>IFERROR(INDEX(FILTER('Current Cycle Tracker'!$Q$2:$Q$200,('Current Cycle Tracker'!$B$2:$B$200="Person 1")*('Current Cycle Tracker'!$P$2:$P$200="Yes")),ROWS($A$6:A12)),"")</x:f>
        <x:v>Up to $25/month; enrollment required.</x:v>
      </x:c>
    </x:row>
    <x:row r="13">
      <x:c r="A13" t="str">
        <x:f>IFERROR(INDEX(FILTER('Current Cycle Tracker'!$C$2:$C$200,('Current Cycle Tracker'!$B$2:$B$200="Person 1")*('Current Cycle Tracker'!$P$2:$P$200="Yes")),ROWS($A$6:A13)),"")</x:f>
        <x:v>American Express Platinum Card</x:v>
      </x:c>
      <x:c r="B13" t="str">
        <x:f>IFERROR(INDEX(FILTER('Current Cycle Tracker'!$D$2:$D$200,('Current Cycle Tracker'!$B$2:$B$200="Person 1")*('Current Cycle Tracker'!$P$2:$P$200="Yes")),ROWS($A$6:A13)),"")</x:f>
        <x:v>Resy Credit</x:v>
      </x:c>
      <x:c r="C13" t="str">
        <x:f>IFERROR(INDEX(FILTER('Current Cycle Tracker'!$G$2:$G$200,('Current Cycle Tracker'!$B$2:$B$200="Person 1")*('Current Cycle Tracker'!$P$2:$P$200="Yes")),ROWS($A$6:A13)),"")</x:f>
        <x:v>2026-Q2</x:v>
      </x:c>
      <x:c r="D13" t="n">
        <x:f>IFERROR(INDEX(FILTER('Current Cycle Tracker'!$H$2:$H$200,('Current Cycle Tracker'!$B$2:$B$200="Person 1")*('Current Cycle Tracker'!$P$2:$P$200="Yes")),ROWS($A$6:A13)),"")</x:f>
        <x:v>46203</x:v>
      </x:c>
      <x:c r="E13" t="n">
        <x:f>IFERROR(INDEX(FILTER('Current Cycle Tracker'!$I$2:$I$200,('Current Cycle Tracker'!$B$2:$B$200="Person 1")*('Current Cycle Tracker'!$P$2:$P$200="Yes")),ROWS($A$6:A13)),"")</x:f>
        <x:v>100</x:v>
      </x:c>
      <x:c r="F13" t="n">
        <x:f>IFERROR(INDEX(FILTER('Current Cycle Tracker'!$J$2:$J$200,('Current Cycle Tracker'!$B$2:$B$200="Person 1")*('Current Cycle Tracker'!$P$2:$P$200="Yes")),ROWS($A$6:A13)),"")</x:f>
        <x:v>0</x:v>
      </x:c>
      <x:c r="G13" t="n">
        <x:f>IFERROR(INDEX(FILTER('Current Cycle Tracker'!$K$2:$K$200,('Current Cycle Tracker'!$B$2:$B$200="Person 1")*('Current Cycle Tracker'!$P$2:$P$200="Yes")),ROWS($A$6:A13)),"")</x:f>
        <x:v>100</x:v>
      </x:c>
      <x:c r="H13" t="n">
        <x:f>IFERROR(INDEX(FILTER('Current Cycle Tracker'!$L$2:$L$200,('Current Cycle Tracker'!$B$2:$B$200="Person 1")*('Current Cycle Tracker'!$P$2:$P$200="Yes")),ROWS($A$6:A13)),"")</x:f>
        <x:v>0</x:v>
      </x:c>
      <x:c r="I13" t="str">
        <x:f>IF(H13="","",IF(H13&gt;=1,"✅","☐"))</x:f>
      </x:c>
      <x:c r="J13" t="str">
        <x:f>IFERROR(INDEX(FILTER('Current Cycle Tracker'!$M$2:$M$200,('Current Cycle Tracker'!$B$2:$B$200="Person 1")*('Current Cycle Tracker'!$P$2:$P$200="Yes")),ROWS($A$6:A13)),"")</x:f>
        <x:v>Not Used</x:v>
      </x:c>
      <x:c r="K13" t="n">
        <x:f>IFERROR(INDEX(FILTER('Current Cycle Tracker'!$N$2:$N$200,('Current Cycle Tracker'!$B$2:$B$200="Person 1")*('Current Cycle Tracker'!$P$2:$P$200="Yes")),ROWS($A$6:A13)),"")</x:f>
        <x:v>59</x:v>
      </x:c>
      <x:c r="L13" t="str">
        <x:f>IFERROR(INDEX(FILTER('Current Cycle Tracker'!$Q$2:$Q$200,('Current Cycle Tracker'!$B$2:$B$200="Person 1")*('Current Cycle Tracker'!$P$2:$P$200="Yes")),ROWS($A$6:A13)),"")</x:f>
        <x:v>Up to $100 per quarter on eligible Resy purchases; enrollment required.</x:v>
      </x:c>
    </x:row>
    <x:row r="14">
      <x:c r="A14" t="str">
        <x:f>IFERROR(INDEX(FILTER('Current Cycle Tracker'!$C$2:$C$200,('Current Cycle Tracker'!$B$2:$B$200="Person 1")*('Current Cycle Tracker'!$P$2:$P$200="Yes")),ROWS($A$6:A14)),"")</x:f>
        <x:v>American Express Platinum Card</x:v>
      </x:c>
      <x:c r="B14" t="str">
        <x:f>IFERROR(INDEX(FILTER('Current Cycle Tracker'!$D$2:$D$200,('Current Cycle Tracker'!$B$2:$B$200="Person 1")*('Current Cycle Tracker'!$P$2:$P$200="Yes")),ROWS($A$6:A14)),"")</x:f>
        <x:v>lululemon Credit</x:v>
      </x:c>
      <x:c r="C14" t="str">
        <x:f>IFERROR(INDEX(FILTER('Current Cycle Tracker'!$G$2:$G$200,('Current Cycle Tracker'!$B$2:$B$200="Person 1")*('Current Cycle Tracker'!$P$2:$P$200="Yes")),ROWS($A$6:A14)),"")</x:f>
        <x:v>2026-Q2</x:v>
      </x:c>
      <x:c r="D14" t="n">
        <x:f>IFERROR(INDEX(FILTER('Current Cycle Tracker'!$H$2:$H$200,('Current Cycle Tracker'!$B$2:$B$200="Person 1")*('Current Cycle Tracker'!$P$2:$P$200="Yes")),ROWS($A$6:A14)),"")</x:f>
        <x:v>46203</x:v>
      </x:c>
      <x:c r="E14" t="n">
        <x:f>IFERROR(INDEX(FILTER('Current Cycle Tracker'!$I$2:$I$200,('Current Cycle Tracker'!$B$2:$B$200="Person 1")*('Current Cycle Tracker'!$P$2:$P$200="Yes")),ROWS($A$6:A14)),"")</x:f>
        <x:v>75</x:v>
      </x:c>
      <x:c r="F14" t="n">
        <x:f>IFERROR(INDEX(FILTER('Current Cycle Tracker'!$J$2:$J$200,('Current Cycle Tracker'!$B$2:$B$200="Person 1")*('Current Cycle Tracker'!$P$2:$P$200="Yes")),ROWS($A$6:A14)),"")</x:f>
        <x:v>0</x:v>
      </x:c>
      <x:c r="G14" t="n">
        <x:f>IFERROR(INDEX(FILTER('Current Cycle Tracker'!$K$2:$K$200,('Current Cycle Tracker'!$B$2:$B$200="Person 1")*('Current Cycle Tracker'!$P$2:$P$200="Yes")),ROWS($A$6:A14)),"")</x:f>
        <x:v>75</x:v>
      </x:c>
      <x:c r="H14" t="n">
        <x:f>IFERROR(INDEX(FILTER('Current Cycle Tracker'!$L$2:$L$200,('Current Cycle Tracker'!$B$2:$B$200="Person 1")*('Current Cycle Tracker'!$P$2:$P$200="Yes")),ROWS($A$6:A14)),"")</x:f>
        <x:v>0</x:v>
      </x:c>
      <x:c r="I14" t="str">
        <x:f>IF(H14="","",IF(H14&gt;=1,"✅","☐"))</x:f>
      </x:c>
      <x:c r="J14" t="str">
        <x:f>IFERROR(INDEX(FILTER('Current Cycle Tracker'!$M$2:$M$200,('Current Cycle Tracker'!$B$2:$B$200="Person 1")*('Current Cycle Tracker'!$P$2:$P$200="Yes")),ROWS($A$6:A14)),"")</x:f>
        <x:v>Not Used</x:v>
      </x:c>
      <x:c r="K14" t="n">
        <x:f>IFERROR(INDEX(FILTER('Current Cycle Tracker'!$N$2:$N$200,('Current Cycle Tracker'!$B$2:$B$200="Person 1")*('Current Cycle Tracker'!$P$2:$P$200="Yes")),ROWS($A$6:A14)),"")</x:f>
        <x:v>59</x:v>
      </x:c>
      <x:c r="L14" t="str">
        <x:f>IFERROR(INDEX(FILTER('Current Cycle Tracker'!$Q$2:$Q$200,('Current Cycle Tracker'!$B$2:$B$200="Person 1")*('Current Cycle Tracker'!$P$2:$P$200="Yes")),ROWS($A$6:A14)),"")</x:f>
        <x:v>Up to $75/quarter at eligible lululemon stores; enrollment required.</x:v>
      </x:c>
    </x:row>
    <x:row r="15">
      <x:c r="A15" t="str">
        <x:f>IFERROR(INDEX(FILTER('Current Cycle Tracker'!$C$2:$C$200,('Current Cycle Tracker'!$B$2:$B$200="Person 1")*('Current Cycle Tracker'!$P$2:$P$200="Yes")),ROWS($A$6:A15)),"")</x:f>
        <x:v>American Express Platinum Card</x:v>
      </x:c>
      <x:c r="B15" t="str">
        <x:f>IFERROR(INDEX(FILTER('Current Cycle Tracker'!$D$2:$D$200,('Current Cycle Tracker'!$B$2:$B$200="Person 1")*('Current Cycle Tracker'!$P$2:$P$200="Yes")),ROWS($A$6:A15)),"")</x:f>
        <x:v>Hotel Credit H1</x:v>
      </x:c>
      <x:c r="C15" t="str">
        <x:f>IFERROR(INDEX(FILTER('Current Cycle Tracker'!$G$2:$G$200,('Current Cycle Tracker'!$B$2:$B$200="Person 1")*('Current Cycle Tracker'!$P$2:$P$200="Yes")),ROWS($A$6:A15)),"")</x:f>
        <x:v>2026-H1</x:v>
      </x:c>
      <x:c r="D15" t="n">
        <x:f>IFERROR(INDEX(FILTER('Current Cycle Tracker'!$H$2:$H$200,('Current Cycle Tracker'!$B$2:$B$200="Person 1")*('Current Cycle Tracker'!$P$2:$P$200="Yes")),ROWS($A$6:A15)),"")</x:f>
        <x:v>46203</x:v>
      </x:c>
      <x:c r="E15" t="n">
        <x:f>IFERROR(INDEX(FILTER('Current Cycle Tracker'!$I$2:$I$200,('Current Cycle Tracker'!$B$2:$B$200="Person 1")*('Current Cycle Tracker'!$P$2:$P$200="Yes")),ROWS($A$6:A15)),"")</x:f>
        <x:v>300</x:v>
      </x:c>
      <x:c r="F15" t="n">
        <x:f>IFERROR(INDEX(FILTER('Current Cycle Tracker'!$J$2:$J$200,('Current Cycle Tracker'!$B$2:$B$200="Person 1")*('Current Cycle Tracker'!$P$2:$P$200="Yes")),ROWS($A$6:A15)),"")</x:f>
        <x:v>0</x:v>
      </x:c>
      <x:c r="G15" t="n">
        <x:f>IFERROR(INDEX(FILTER('Current Cycle Tracker'!$K$2:$K$200,('Current Cycle Tracker'!$B$2:$B$200="Person 1")*('Current Cycle Tracker'!$P$2:$P$200="Yes")),ROWS($A$6:A15)),"")</x:f>
        <x:v>300</x:v>
      </x:c>
      <x:c r="H15" t="n">
        <x:f>IFERROR(INDEX(FILTER('Current Cycle Tracker'!$L$2:$L$200,('Current Cycle Tracker'!$B$2:$B$200="Person 1")*('Current Cycle Tracker'!$P$2:$P$200="Yes")),ROWS($A$6:A15)),"")</x:f>
        <x:v>0</x:v>
      </x:c>
      <x:c r="I15" t="str">
        <x:f>IF(H15="","",IF(H15&gt;=1,"✅","☐"))</x:f>
      </x:c>
      <x:c r="J15" t="str">
        <x:f>IFERROR(INDEX(FILTER('Current Cycle Tracker'!$M$2:$M$200,('Current Cycle Tracker'!$B$2:$B$200="Person 1")*('Current Cycle Tracker'!$P$2:$P$200="Yes")),ROWS($A$6:A15)),"")</x:f>
        <x:v>Not Used</x:v>
      </x:c>
      <x:c r="K15" t="n">
        <x:f>IFERROR(INDEX(FILTER('Current Cycle Tracker'!$N$2:$N$200,('Current Cycle Tracker'!$B$2:$B$200="Person 1")*('Current Cycle Tracker'!$P$2:$P$200="Yes")),ROWS($A$6:A15)),"")</x:f>
        <x:v>59</x:v>
      </x:c>
      <x:c r="L15" t="str">
        <x:f>IFERROR(INDEX(FILTER('Current Cycle Tracker'!$Q$2:$Q$200,('Current Cycle Tracker'!$B$2:$B$200="Person 1")*('Current Cycle Tracker'!$P$2:$P$200="Yes")),ROWS($A$6:A15)),"")</x:f>
        <x:v>Up to $300 Jan-Jun on prepaid FHR/The Hotel Collection via Amex Travel.</x:v>
      </x:c>
    </x:row>
    <x:row r="16">
      <x:c r="A16" t="str">
        <x:f>IFERROR(INDEX(FILTER('Current Cycle Tracker'!$C$2:$C$200,('Current Cycle Tracker'!$B$2:$B$200="Person 1")*('Current Cycle Tracker'!$P$2:$P$200="Yes")),ROWS($A$6:A16)),"")</x:f>
        <x:v>American Express Platinum Card</x:v>
      </x:c>
      <x:c r="B16" t="str">
        <x:f>IFERROR(INDEX(FILTER('Current Cycle Tracker'!$D$2:$D$200,('Current Cycle Tracker'!$B$2:$B$200="Person 1")*('Current Cycle Tracker'!$P$2:$P$200="Yes")),ROWS($A$6:A16)),"")</x:f>
        <x:v>Hotel Credit H2</x:v>
      </x:c>
      <x:c r="C16" t="str">
        <x:f>IFERROR(INDEX(FILTER('Current Cycle Tracker'!$G$2:$G$200,('Current Cycle Tracker'!$B$2:$B$200="Person 1")*('Current Cycle Tracker'!$P$2:$P$200="Yes")),ROWS($A$6:A16)),"")</x:f>
        <x:v>2026-H2</x:v>
      </x:c>
      <x:c r="D16" t="n">
        <x:f>IFERROR(INDEX(FILTER('Current Cycle Tracker'!$H$2:$H$200,('Current Cycle Tracker'!$B$2:$B$200="Person 1")*('Current Cycle Tracker'!$P$2:$P$200="Yes")),ROWS($A$6:A16)),"")</x:f>
        <x:v>46387</x:v>
      </x:c>
      <x:c r="E16" t="n">
        <x:f>IFERROR(INDEX(FILTER('Current Cycle Tracker'!$I$2:$I$200,('Current Cycle Tracker'!$B$2:$B$200="Person 1")*('Current Cycle Tracker'!$P$2:$P$200="Yes")),ROWS($A$6:A16)),"")</x:f>
        <x:v>300</x:v>
      </x:c>
      <x:c r="F16" t="n">
        <x:f>IFERROR(INDEX(FILTER('Current Cycle Tracker'!$J$2:$J$200,('Current Cycle Tracker'!$B$2:$B$200="Person 1")*('Current Cycle Tracker'!$P$2:$P$200="Yes")),ROWS($A$6:A16)),"")</x:f>
        <x:v>0</x:v>
      </x:c>
      <x:c r="G16" t="n">
        <x:f>IFERROR(INDEX(FILTER('Current Cycle Tracker'!$K$2:$K$200,('Current Cycle Tracker'!$B$2:$B$200="Person 1")*('Current Cycle Tracker'!$P$2:$P$200="Yes")),ROWS($A$6:A16)),"")</x:f>
        <x:v>300</x:v>
      </x:c>
      <x:c r="H16" t="n">
        <x:f>IFERROR(INDEX(FILTER('Current Cycle Tracker'!$L$2:$L$200,('Current Cycle Tracker'!$B$2:$B$200="Person 1")*('Current Cycle Tracker'!$P$2:$P$200="Yes")),ROWS($A$6:A16)),"")</x:f>
        <x:v>0</x:v>
      </x:c>
      <x:c r="I16" t="str">
        <x:f>IF(H16="","",IF(H16&gt;=1,"✅","☐"))</x:f>
      </x:c>
      <x:c r="J16" t="str">
        <x:f>IFERROR(INDEX(FILTER('Current Cycle Tracker'!$M$2:$M$200,('Current Cycle Tracker'!$B$2:$B$200="Person 1")*('Current Cycle Tracker'!$P$2:$P$200="Yes")),ROWS($A$6:A16)),"")</x:f>
        <x:v>Not Used</x:v>
      </x:c>
      <x:c r="K16" t="n">
        <x:f>IFERROR(INDEX(FILTER('Current Cycle Tracker'!$N$2:$N$200,('Current Cycle Tracker'!$B$2:$B$200="Person 1")*('Current Cycle Tracker'!$P$2:$P$200="Yes")),ROWS($A$6:A16)),"")</x:f>
        <x:v>243</x:v>
      </x:c>
      <x:c r="L16" t="str">
        <x:f>IFERROR(INDEX(FILTER('Current Cycle Tracker'!$Q$2:$Q$200,('Current Cycle Tracker'!$B$2:$B$200="Person 1")*('Current Cycle Tracker'!$P$2:$P$200="Yes")),ROWS($A$6:A16)),"")</x:f>
        <x:v>Up to $300 Jul-Dec on prepaid FHR/The Hotel Collection via Amex Travel.</x:v>
      </x:c>
    </x:row>
    <x:row r="17">
      <x:c r="A17" t="str">
        <x:f>IFERROR(INDEX(FILTER('Current Cycle Tracker'!$C$2:$C$200,('Current Cycle Tracker'!$B$2:$B$200="Person 1")*('Current Cycle Tracker'!$P$2:$P$200="Yes")),ROWS($A$6:A17)),"")</x:f>
        <x:v>American Express Platinum Card</x:v>
      </x:c>
      <x:c r="B17" t="str">
        <x:f>IFERROR(INDEX(FILTER('Current Cycle Tracker'!$D$2:$D$200,('Current Cycle Tracker'!$B$2:$B$200="Person 1")*('Current Cycle Tracker'!$P$2:$P$200="Yes")),ROWS($A$6:A17)),"")</x:f>
        <x:v>Airline Fee Credit</x:v>
      </x:c>
      <x:c r="C17" t="n">
        <x:f>IFERROR(INDEX(FILTER('Current Cycle Tracker'!$G$2:$G$200,('Current Cycle Tracker'!$B$2:$B$200="Person 1")*('Current Cycle Tracker'!$P$2:$P$200="Yes")),ROWS($A$6:A17)),"")</x:f>
        <x:v>2026</x:v>
      </x:c>
      <x:c r="D17" t="n">
        <x:f>IFERROR(INDEX(FILTER('Current Cycle Tracker'!$H$2:$H$200,('Current Cycle Tracker'!$B$2:$B$200="Person 1")*('Current Cycle Tracker'!$P$2:$P$200="Yes")),ROWS($A$6:A17)),"")</x:f>
        <x:v>46387</x:v>
      </x:c>
      <x:c r="E17" t="n">
        <x:f>IFERROR(INDEX(FILTER('Current Cycle Tracker'!$I$2:$I$200,('Current Cycle Tracker'!$B$2:$B$200="Person 1")*('Current Cycle Tracker'!$P$2:$P$200="Yes")),ROWS($A$6:A17)),"")</x:f>
        <x:v>200</x:v>
      </x:c>
      <x:c r="F17" t="n">
        <x:f>IFERROR(INDEX(FILTER('Current Cycle Tracker'!$J$2:$J$200,('Current Cycle Tracker'!$B$2:$B$200="Person 1")*('Current Cycle Tracker'!$P$2:$P$200="Yes")),ROWS($A$6:A17)),"")</x:f>
        <x:v>0</x:v>
      </x:c>
      <x:c r="G17" t="n">
        <x:f>IFERROR(INDEX(FILTER('Current Cycle Tracker'!$K$2:$K$200,('Current Cycle Tracker'!$B$2:$B$200="Person 1")*('Current Cycle Tracker'!$P$2:$P$200="Yes")),ROWS($A$6:A17)),"")</x:f>
        <x:v>200</x:v>
      </x:c>
      <x:c r="H17" t="n">
        <x:f>IFERROR(INDEX(FILTER('Current Cycle Tracker'!$L$2:$L$200,('Current Cycle Tracker'!$B$2:$B$200="Person 1")*('Current Cycle Tracker'!$P$2:$P$200="Yes")),ROWS($A$6:A17)),"")</x:f>
        <x:v>0</x:v>
      </x:c>
      <x:c r="I17" t="str">
        <x:f>IF(H17="","",IF(H17&gt;=1,"✅","☐"))</x:f>
      </x:c>
      <x:c r="J17" t="str">
        <x:f>IFERROR(INDEX(FILTER('Current Cycle Tracker'!$M$2:$M$200,('Current Cycle Tracker'!$B$2:$B$200="Person 1")*('Current Cycle Tracker'!$P$2:$P$200="Yes")),ROWS($A$6:A17)),"")</x:f>
        <x:v>Not Used</x:v>
      </x:c>
      <x:c r="K17" t="n">
        <x:f>IFERROR(INDEX(FILTER('Current Cycle Tracker'!$N$2:$N$200,('Current Cycle Tracker'!$B$2:$B$200="Person 1")*('Current Cycle Tracker'!$P$2:$P$200="Yes")),ROWS($A$6:A17)),"")</x:f>
        <x:v>243</x:v>
      </x:c>
      <x:c r="L17" t="str">
        <x:f>IFERROR(INDEX(FILTER('Current Cycle Tracker'!$Q$2:$Q$200,('Current Cycle Tracker'!$B$2:$B$200="Person 1")*('Current Cycle Tracker'!$P$2:$P$200="Yes")),ROWS($A$6:A17)),"")</x:f>
        <x:v>Up to $200/calendar year for airline incidental fees; enrollment required; choose airline.</x:v>
      </x:c>
    </x:row>
    <x:row r="18">
      <x:c r="A18" t="str">
        <x:f>IFERROR(INDEX(FILTER('Current Cycle Tracker'!$C$2:$C$200,('Current Cycle Tracker'!$B$2:$B$200="Person 1")*('Current Cycle Tracker'!$P$2:$P$200="Yes")),ROWS($A$6:A18)),"")</x:f>
        <x:v>American Express Platinum Card</x:v>
      </x:c>
      <x:c r="B18" t="str">
        <x:f>IFERROR(INDEX(FILTER('Current Cycle Tracker'!$D$2:$D$200,('Current Cycle Tracker'!$B$2:$B$200="Person 1")*('Current Cycle Tracker'!$P$2:$P$200="Yes")),ROWS($A$6:A18)),"")</x:f>
        <x:v>Walmart+ Monthly Credit</x:v>
      </x:c>
      <x:c r="C18" t="str">
        <x:f>IFERROR(INDEX(FILTER('Current Cycle Tracker'!$G$2:$G$200,('Current Cycle Tracker'!$B$2:$B$200="Person 1")*('Current Cycle Tracker'!$P$2:$P$200="Yes")),ROWS($A$6:A18)),"")</x:f>
        <x:v>2026-05</x:v>
      </x:c>
      <x:c r="D18" t="n">
        <x:f>IFERROR(INDEX(FILTER('Current Cycle Tracker'!$H$2:$H$200,('Current Cycle Tracker'!$B$2:$B$200="Person 1")*('Current Cycle Tracker'!$P$2:$P$200="Yes")),ROWS($A$6:A18)),"")</x:f>
        <x:v>46173</x:v>
      </x:c>
      <x:c r="E18" t="n">
        <x:f>IFERROR(INDEX(FILTER('Current Cycle Tracker'!$I$2:$I$200,('Current Cycle Tracker'!$B$2:$B$200="Person 1")*('Current Cycle Tracker'!$P$2:$P$200="Yes")),ROWS($A$6:A18)),"")</x:f>
        <x:v>12.95</x:v>
      </x:c>
      <x:c r="F18" t="n">
        <x:f>IFERROR(INDEX(FILTER('Current Cycle Tracker'!$J$2:$J$200,('Current Cycle Tracker'!$B$2:$B$200="Person 1")*('Current Cycle Tracker'!$P$2:$P$200="Yes")),ROWS($A$6:A18)),"")</x:f>
        <x:v>0</x:v>
      </x:c>
      <x:c r="G18" t="n">
        <x:f>IFERROR(INDEX(FILTER('Current Cycle Tracker'!$K$2:$K$200,('Current Cycle Tracker'!$B$2:$B$200="Person 1")*('Current Cycle Tracker'!$P$2:$P$200="Yes")),ROWS($A$6:A18)),"")</x:f>
        <x:v>12.95</x:v>
      </x:c>
      <x:c r="H18" t="n">
        <x:f>IFERROR(INDEX(FILTER('Current Cycle Tracker'!$L$2:$L$200,('Current Cycle Tracker'!$B$2:$B$200="Person 1")*('Current Cycle Tracker'!$P$2:$P$200="Yes")),ROWS($A$6:A18)),"")</x:f>
        <x:v>0</x:v>
      </x:c>
      <x:c r="I18" t="str">
        <x:f>IF(H18="","",IF(H18&gt;=1,"✅","☐"))</x:f>
      </x:c>
      <x:c r="J18" t="str">
        <x:f>IFERROR(INDEX(FILTER('Current Cycle Tracker'!$M$2:$M$200,('Current Cycle Tracker'!$B$2:$B$200="Person 1")*('Current Cycle Tracker'!$P$2:$P$200="Yes")),ROWS($A$6:A18)),"")</x:f>
        <x:v>Not Used</x:v>
      </x:c>
      <x:c r="K18" t="n">
        <x:f>IFERROR(INDEX(FILTER('Current Cycle Tracker'!$N$2:$N$200,('Current Cycle Tracker'!$B$2:$B$200="Person 1")*('Current Cycle Tracker'!$P$2:$P$200="Yes")),ROWS($A$6:A18)),"")</x:f>
        <x:v>29</x:v>
      </x:c>
      <x:c r="L18" t="str">
        <x:f>IFERROR(INDEX(FILTER('Current Cycle Tracker'!$Q$2:$Q$200,('Current Cycle Tracker'!$B$2:$B$200="Person 1")*('Current Cycle Tracker'!$P$2:$P$200="Yes")),ROWS($A$6:A18)),"")</x:f>
        <x:v>Monthly Walmart+ statement credit; enrollment required.</x:v>
      </x:c>
    </x:row>
    <x:row r="19">
      <x:c r="A19" t="str">
        <x:f>IFERROR(INDEX(FILTER('Current Cycle Tracker'!$C$2:$C$200,('Current Cycle Tracker'!$B$2:$B$200="Person 1")*('Current Cycle Tracker'!$P$2:$P$200="Yes")),ROWS($A$6:A19)),"")</x:f>
        <x:v>American Express Platinum Card</x:v>
      </x:c>
      <x:c r="B19" t="str">
        <x:f>IFERROR(INDEX(FILTER('Current Cycle Tracker'!$D$2:$D$200,('Current Cycle Tracker'!$B$2:$B$200="Person 1")*('Current Cycle Tracker'!$P$2:$P$200="Yes")),ROWS($A$6:A19)),"")</x:f>
        <x:v>CLEAR+ Credit</x:v>
      </x:c>
      <x:c r="C19" t="n">
        <x:f>IFERROR(INDEX(FILTER('Current Cycle Tracker'!$G$2:$G$200,('Current Cycle Tracker'!$B$2:$B$200="Person 1")*('Current Cycle Tracker'!$P$2:$P$200="Yes")),ROWS($A$6:A19)),"")</x:f>
        <x:v>2026</x:v>
      </x:c>
      <x:c r="D19" t="n">
        <x:f>IFERROR(INDEX(FILTER('Current Cycle Tracker'!$H$2:$H$200,('Current Cycle Tracker'!$B$2:$B$200="Person 1")*('Current Cycle Tracker'!$P$2:$P$200="Yes")),ROWS($A$6:A19)),"")</x:f>
        <x:v>46387</x:v>
      </x:c>
      <x:c r="E19" t="n">
        <x:f>IFERROR(INDEX(FILTER('Current Cycle Tracker'!$I$2:$I$200,('Current Cycle Tracker'!$B$2:$B$200="Person 1")*('Current Cycle Tracker'!$P$2:$P$200="Yes")),ROWS($A$6:A19)),"")</x:f>
        <x:v>209</x:v>
      </x:c>
      <x:c r="F19" t="n">
        <x:f>IFERROR(INDEX(FILTER('Current Cycle Tracker'!$J$2:$J$200,('Current Cycle Tracker'!$B$2:$B$200="Person 1")*('Current Cycle Tracker'!$P$2:$P$200="Yes")),ROWS($A$6:A19)),"")</x:f>
        <x:v>0</x:v>
      </x:c>
      <x:c r="G19" t="n">
        <x:f>IFERROR(INDEX(FILTER('Current Cycle Tracker'!$K$2:$K$200,('Current Cycle Tracker'!$B$2:$B$200="Person 1")*('Current Cycle Tracker'!$P$2:$P$200="Yes")),ROWS($A$6:A19)),"")</x:f>
        <x:v>209</x:v>
      </x:c>
      <x:c r="H19" t="n">
        <x:f>IFERROR(INDEX(FILTER('Current Cycle Tracker'!$L$2:$L$200,('Current Cycle Tracker'!$B$2:$B$200="Person 1")*('Current Cycle Tracker'!$P$2:$P$200="Yes")),ROWS($A$6:A19)),"")</x:f>
        <x:v>0</x:v>
      </x:c>
      <x:c r="I19" t="str">
        <x:f>IF(H19="","",IF(H19&gt;=1,"✅","☐"))</x:f>
      </x:c>
      <x:c r="J19" t="str">
        <x:f>IFERROR(INDEX(FILTER('Current Cycle Tracker'!$M$2:$M$200,('Current Cycle Tracker'!$B$2:$B$200="Person 1")*('Current Cycle Tracker'!$P$2:$P$200="Yes")),ROWS($A$6:A19)),"")</x:f>
        <x:v>Not Used</x:v>
      </x:c>
      <x:c r="K19" t="n">
        <x:f>IFERROR(INDEX(FILTER('Current Cycle Tracker'!$N$2:$N$200,('Current Cycle Tracker'!$B$2:$B$200="Person 1")*('Current Cycle Tracker'!$P$2:$P$200="Yes")),ROWS($A$6:A19)),"")</x:f>
        <x:v>243</x:v>
      </x:c>
      <x:c r="L19" t="str">
        <x:f>IFERROR(INDEX(FILTER('Current Cycle Tracker'!$Q$2:$Q$200,('Current Cycle Tracker'!$B$2:$B$200="Person 1")*('Current Cycle Tracker'!$P$2:$P$200="Yes")),ROWS($A$6:A19)),"")</x:f>
        <x:v>Up to $209/year for CLEAR+ membership.</x:v>
      </x:c>
    </x:row>
    <x:row r="20">
      <x:c r="A20" t="str">
        <x:f>IFERROR(INDEX(FILTER('Current Cycle Tracker'!$C$2:$C$200,('Current Cycle Tracker'!$B$2:$B$200="Person 1")*('Current Cycle Tracker'!$P$2:$P$200="Yes")),ROWS($A$6:A20)),"")</x:f>
        <x:v>American Express Platinum Card</x:v>
      </x:c>
      <x:c r="B20" t="str">
        <x:f>IFERROR(INDEX(FILTER('Current Cycle Tracker'!$D$2:$D$200,('Current Cycle Tracker'!$B$2:$B$200="Person 1")*('Current Cycle Tracker'!$P$2:$P$200="Yes")),ROWS($A$6:A20)),"")</x:f>
        <x:v>Saks Credit Final H1</x:v>
      </x:c>
      <x:c r="C20" t="str">
        <x:f>IFERROR(INDEX(FILTER('Current Cycle Tracker'!$G$2:$G$200,('Current Cycle Tracker'!$B$2:$B$200="Person 1")*('Current Cycle Tracker'!$P$2:$P$200="Yes")),ROWS($A$6:A20)),"")</x:f>
        <x:v>2026-H1</x:v>
      </x:c>
      <x:c r="D20" t="n">
        <x:f>IFERROR(INDEX(FILTER('Current Cycle Tracker'!$H$2:$H$200,('Current Cycle Tracker'!$B$2:$B$200="Person 1")*('Current Cycle Tracker'!$P$2:$P$200="Yes")),ROWS($A$6:A20)),"")</x:f>
        <x:v>46203</x:v>
      </x:c>
      <x:c r="E20" t="n">
        <x:f>IFERROR(INDEX(FILTER('Current Cycle Tracker'!$I$2:$I$200,('Current Cycle Tracker'!$B$2:$B$200="Person 1")*('Current Cycle Tracker'!$P$2:$P$200="Yes")),ROWS($A$6:A20)),"")</x:f>
        <x:v>50</x:v>
      </x:c>
      <x:c r="F20" t="n">
        <x:f>IFERROR(INDEX(FILTER('Current Cycle Tracker'!$J$2:$J$200,('Current Cycle Tracker'!$B$2:$B$200="Person 1")*('Current Cycle Tracker'!$P$2:$P$200="Yes")),ROWS($A$6:A20)),"")</x:f>
        <x:v>0</x:v>
      </x:c>
      <x:c r="G20" t="n">
        <x:f>IFERROR(INDEX(FILTER('Current Cycle Tracker'!$K$2:$K$200,('Current Cycle Tracker'!$B$2:$B$200="Person 1")*('Current Cycle Tracker'!$P$2:$P$200="Yes")),ROWS($A$6:A20)),"")</x:f>
        <x:v>50</x:v>
      </x:c>
      <x:c r="H20" t="n">
        <x:f>IFERROR(INDEX(FILTER('Current Cycle Tracker'!$L$2:$L$200,('Current Cycle Tracker'!$B$2:$B$200="Person 1")*('Current Cycle Tracker'!$P$2:$P$200="Yes")),ROWS($A$6:A20)),"")</x:f>
        <x:v>0</x:v>
      </x:c>
      <x:c r="I20" t="str">
        <x:f>IF(H20="","",IF(H20&gt;=1,"✅","☐"))</x:f>
      </x:c>
      <x:c r="J20" t="str">
        <x:f>IFERROR(INDEX(FILTER('Current Cycle Tracker'!$M$2:$M$200,('Current Cycle Tracker'!$B$2:$B$200="Person 1")*('Current Cycle Tracker'!$P$2:$P$200="Yes")),ROWS($A$6:A20)),"")</x:f>
        <x:v>Not Used</x:v>
      </x:c>
      <x:c r="K20" t="n">
        <x:f>IFERROR(INDEX(FILTER('Current Cycle Tracker'!$N$2:$N$200,('Current Cycle Tracker'!$B$2:$B$200="Person 1")*('Current Cycle Tracker'!$P$2:$P$200="Yes")),ROWS($A$6:A20)),"")</x:f>
        <x:v>59</x:v>
      </x:c>
      <x:c r="L20" t="str">
        <x:f>IFERROR(INDEX(FILTER('Current Cycle Tracker'!$Q$2:$Q$200,('Current Cycle Tracker'!$B$2:$B$200="Person 1")*('Current Cycle Tracker'!$P$2:$P$200="Yes")),ROWS($A$6:A20)),"")</x:f>
        <x:v>Saks credit expected to end July 1, 2026; verify eligibility.</x:v>
      </x:c>
    </x:row>
    <x:row r="21">
      <x:c r="A21" t="str">
        <x:f>IFERROR(INDEX(FILTER('Current Cycle Tracker'!$C$2:$C$200,('Current Cycle Tracker'!$B$2:$B$200="Person 1")*('Current Cycle Tracker'!$P$2:$P$200="Yes")),ROWS($A$6:A21)),"")</x:f>
        <x:v>Chase Sapphire Preferred</x:v>
      </x:c>
      <x:c r="B21" t="str">
        <x:f>IFERROR(INDEX(FILTER('Current Cycle Tracker'!$D$2:$D$200,('Current Cycle Tracker'!$B$2:$B$200="Person 1")*('Current Cycle Tracker'!$P$2:$P$200="Yes")),ROWS($A$6:A21)),"")</x:f>
        <x:v>Chase Travel Hotel Credit</x:v>
      </x:c>
      <x:c r="C21" t="n">
        <x:f>IFERROR(INDEX(FILTER('Current Cycle Tracker'!$G$2:$G$200,('Current Cycle Tracker'!$B$2:$B$200="Person 1")*('Current Cycle Tracker'!$P$2:$P$200="Yes")),ROWS($A$6:A21)),"")</x:f>
        <x:v>2026</x:v>
      </x:c>
      <x:c r="D21" t="str">
        <x:f>IFERROR(INDEX(FILTER('Current Cycle Tracker'!$H$2:$H$200,('Current Cycle Tracker'!$B$2:$B$200="Person 1")*('Current Cycle Tracker'!$P$2:$P$200="Yes")),ROWS($A$6:A21)),"")</x:f>
        <x:v>Enter open date</x:v>
      </x:c>
      <x:c r="E21" t="n">
        <x:f>IFERROR(INDEX(FILTER('Current Cycle Tracker'!$I$2:$I$200,('Current Cycle Tracker'!$B$2:$B$200="Person 1")*('Current Cycle Tracker'!$P$2:$P$200="Yes")),ROWS($A$6:A21)),"")</x:f>
        <x:v>50</x:v>
      </x:c>
      <x:c r="F21" t="n">
        <x:f>IFERROR(INDEX(FILTER('Current Cycle Tracker'!$J$2:$J$200,('Current Cycle Tracker'!$B$2:$B$200="Person 1")*('Current Cycle Tracker'!$P$2:$P$200="Yes")),ROWS($A$6:A21)),"")</x:f>
        <x:v>0</x:v>
      </x:c>
      <x:c r="G21" t="n">
        <x:f>IFERROR(INDEX(FILTER('Current Cycle Tracker'!$K$2:$K$200,('Current Cycle Tracker'!$B$2:$B$200="Person 1")*('Current Cycle Tracker'!$P$2:$P$200="Yes")),ROWS($A$6:A21)),"")</x:f>
        <x:v>50</x:v>
      </x:c>
      <x:c r="H21" t="n">
        <x:f>IFERROR(INDEX(FILTER('Current Cycle Tracker'!$L$2:$L$200,('Current Cycle Tracker'!$B$2:$B$200="Person 1")*('Current Cycle Tracker'!$P$2:$P$200="Yes")),ROWS($A$6:A21)),"")</x:f>
        <x:v>0</x:v>
      </x:c>
      <x:c r="I21" t="str">
        <x:f>IF(H21="","",IF(H21&gt;=1,"✅","☐"))</x:f>
      </x:c>
      <x:c r="J21" t="str">
        <x:f>IFERROR(INDEX(FILTER('Current Cycle Tracker'!$M$2:$M$200,('Current Cycle Tracker'!$B$2:$B$200="Person 1")*('Current Cycle Tracker'!$P$2:$P$200="Yes")),ROWS($A$6:A21)),"")</x:f>
        <x:v>Review Terms</x:v>
      </x:c>
      <x:c r="K21" t="str">
        <x:f>IFERROR(INDEX(FILTER('Current Cycle Tracker'!$N$2:$N$200,('Current Cycle Tracker'!$B$2:$B$200="Person 1")*('Current Cycle Tracker'!$P$2:$P$200="Yes")),ROWS($A$6:A21)),"")</x:f>
      </x:c>
      <x:c r="L21" t="str">
        <x:f>IFERROR(INDEX(FILTER('Current Cycle Tracker'!$Q$2:$Q$200,('Current Cycle Tracker'!$B$2:$B$200="Person 1")*('Current Cycle Tracker'!$P$2:$P$200="Yes")),ROWS($A$6:A21)),"")</x:f>
        <x:v>Up to $50 each account anniversary year for hotel stays through Chase Travel.</x:v>
      </x:c>
    </x:row>
    <x:row r="22">
      <x:c r="A22" t="str">
        <x:f>IFERROR(INDEX(FILTER('Current Cycle Tracker'!$C$2:$C$200,('Current Cycle Tracker'!$B$2:$B$200="Person 1")*('Current Cycle Tracker'!$P$2:$P$200="Yes")),ROWS($A$6:A22)),"")</x:f>
        <x:v>Chase Sapphire Reserve</x:v>
      </x:c>
      <x:c r="B22" t="str">
        <x:f>IFERROR(INDEX(FILTER('Current Cycle Tracker'!$D$2:$D$200,('Current Cycle Tracker'!$B$2:$B$200="Person 1")*('Current Cycle Tracker'!$P$2:$P$200="Yes")),ROWS($A$6:A22)),"")</x:f>
        <x:v>Annual Travel Credit</x:v>
      </x:c>
      <x:c r="C22" t="n">
        <x:f>IFERROR(INDEX(FILTER('Current Cycle Tracker'!$G$2:$G$200,('Current Cycle Tracker'!$B$2:$B$200="Person 1")*('Current Cycle Tracker'!$P$2:$P$200="Yes")),ROWS($A$6:A22)),"")</x:f>
        <x:v>2026</x:v>
      </x:c>
      <x:c r="D22" t="str">
        <x:f>IFERROR(INDEX(FILTER('Current Cycle Tracker'!$H$2:$H$200,('Current Cycle Tracker'!$B$2:$B$200="Person 1")*('Current Cycle Tracker'!$P$2:$P$200="Yes")),ROWS($A$6:A22)),"")</x:f>
        <x:v>Enter open date</x:v>
      </x:c>
      <x:c r="E22" t="n">
        <x:f>IFERROR(INDEX(FILTER('Current Cycle Tracker'!$I$2:$I$200,('Current Cycle Tracker'!$B$2:$B$200="Person 1")*('Current Cycle Tracker'!$P$2:$P$200="Yes")),ROWS($A$6:A22)),"")</x:f>
        <x:v>300</x:v>
      </x:c>
      <x:c r="F22" t="n">
        <x:f>IFERROR(INDEX(FILTER('Current Cycle Tracker'!$J$2:$J$200,('Current Cycle Tracker'!$B$2:$B$200="Person 1")*('Current Cycle Tracker'!$P$2:$P$200="Yes")),ROWS($A$6:A22)),"")</x:f>
        <x:v>0</x:v>
      </x:c>
      <x:c r="G22" t="n">
        <x:f>IFERROR(INDEX(FILTER('Current Cycle Tracker'!$K$2:$K$200,('Current Cycle Tracker'!$B$2:$B$200="Person 1")*('Current Cycle Tracker'!$P$2:$P$200="Yes")),ROWS($A$6:A22)),"")</x:f>
        <x:v>300</x:v>
      </x:c>
      <x:c r="H22" t="n">
        <x:f>IFERROR(INDEX(FILTER('Current Cycle Tracker'!$L$2:$L$200,('Current Cycle Tracker'!$B$2:$B$200="Person 1")*('Current Cycle Tracker'!$P$2:$P$200="Yes")),ROWS($A$6:A22)),"")</x:f>
        <x:v>0</x:v>
      </x:c>
      <x:c r="I22" t="str">
        <x:f>IF(H22="","",IF(H22&gt;=1,"✅","☐"))</x:f>
      </x:c>
      <x:c r="J22" t="str">
        <x:f>IFERROR(INDEX(FILTER('Current Cycle Tracker'!$M$2:$M$200,('Current Cycle Tracker'!$B$2:$B$200="Person 1")*('Current Cycle Tracker'!$P$2:$P$200="Yes")),ROWS($A$6:A22)),"")</x:f>
        <x:v>Review Terms</x:v>
      </x:c>
      <x:c r="K22" t="str">
        <x:f>IFERROR(INDEX(FILTER('Current Cycle Tracker'!$N$2:$N$200,('Current Cycle Tracker'!$B$2:$B$200="Person 1")*('Current Cycle Tracker'!$P$2:$P$200="Yes")),ROWS($A$6:A22)),"")</x:f>
      </x:c>
      <x:c r="L22" t="str">
        <x:f>IFERROR(INDEX(FILTER('Current Cycle Tracker'!$Q$2:$Q$200,('Current Cycle Tracker'!$B$2:$B$200="Person 1")*('Current Cycle Tracker'!$P$2:$P$200="Yes")),ROWS($A$6:A22)),"")</x:f>
        <x:v>Up to $300 annual travel credit; anniversary-year based. Add open date/renewal to refine.</x:v>
      </x:c>
    </x:row>
    <x:row r="23">
      <x:c r="A23" t="str">
        <x:f>IFERROR(INDEX(FILTER('Current Cycle Tracker'!$C$2:$C$200,('Current Cycle Tracker'!$B$2:$B$200="Person 1")*('Current Cycle Tracker'!$P$2:$P$200="Yes")),ROWS($A$6:A23)),"")</x:f>
        <x:v>Chase Sapphire Reserve</x:v>
      </x:c>
      <x:c r="B23" t="str">
        <x:f>IFERROR(INDEX(FILTER('Current Cycle Tracker'!$D$2:$D$200,('Current Cycle Tracker'!$B$2:$B$200="Person 1")*('Current Cycle Tracker'!$P$2:$P$200="Yes")),ROWS($A$6:A23)),"")</x:f>
        <x:v>Sapphire Reserve Dining Credit H1</x:v>
      </x:c>
      <x:c r="C23" t="str">
        <x:f>IFERROR(INDEX(FILTER('Current Cycle Tracker'!$G$2:$G$200,('Current Cycle Tracker'!$B$2:$B$200="Person 1")*('Current Cycle Tracker'!$P$2:$P$200="Yes")),ROWS($A$6:A23)),"")</x:f>
        <x:v>2026-H1</x:v>
      </x:c>
      <x:c r="D23" t="n">
        <x:f>IFERROR(INDEX(FILTER('Current Cycle Tracker'!$H$2:$H$200,('Current Cycle Tracker'!$B$2:$B$200="Person 1")*('Current Cycle Tracker'!$P$2:$P$200="Yes")),ROWS($A$6:A23)),"")</x:f>
        <x:v>46203</x:v>
      </x:c>
      <x:c r="E23" t="n">
        <x:f>IFERROR(INDEX(FILTER('Current Cycle Tracker'!$I$2:$I$200,('Current Cycle Tracker'!$B$2:$B$200="Person 1")*('Current Cycle Tracker'!$P$2:$P$200="Yes")),ROWS($A$6:A23)),"")</x:f>
        <x:v>150</x:v>
      </x:c>
      <x:c r="F23" t="n">
        <x:f>IFERROR(INDEX(FILTER('Current Cycle Tracker'!$J$2:$J$200,('Current Cycle Tracker'!$B$2:$B$200="Person 1")*('Current Cycle Tracker'!$P$2:$P$200="Yes")),ROWS($A$6:A23)),"")</x:f>
        <x:v>0</x:v>
      </x:c>
      <x:c r="G23" t="n">
        <x:f>IFERROR(INDEX(FILTER('Current Cycle Tracker'!$K$2:$K$200,('Current Cycle Tracker'!$B$2:$B$200="Person 1")*('Current Cycle Tracker'!$P$2:$P$200="Yes")),ROWS($A$6:A23)),"")</x:f>
        <x:v>150</x:v>
      </x:c>
      <x:c r="H23" t="n">
        <x:f>IFERROR(INDEX(FILTER('Current Cycle Tracker'!$L$2:$L$200,('Current Cycle Tracker'!$B$2:$B$200="Person 1")*('Current Cycle Tracker'!$P$2:$P$200="Yes")),ROWS($A$6:A23)),"")</x:f>
        <x:v>0</x:v>
      </x:c>
      <x:c r="I23" t="str">
        <x:f>IF(H23="","",IF(H23&gt;=1,"✅","☐"))</x:f>
      </x:c>
      <x:c r="J23" t="str">
        <x:f>IFERROR(INDEX(FILTER('Current Cycle Tracker'!$M$2:$M$200,('Current Cycle Tracker'!$B$2:$B$200="Person 1")*('Current Cycle Tracker'!$P$2:$P$200="Yes")),ROWS($A$6:A23)),"")</x:f>
        <x:v>Not Used</x:v>
      </x:c>
      <x:c r="K23" t="n">
        <x:f>IFERROR(INDEX(FILTER('Current Cycle Tracker'!$N$2:$N$200,('Current Cycle Tracker'!$B$2:$B$200="Person 1")*('Current Cycle Tracker'!$P$2:$P$200="Yes")),ROWS($A$6:A23)),"")</x:f>
        <x:v>59</x:v>
      </x:c>
      <x:c r="L23" t="str">
        <x:f>IFERROR(INDEX(FILTER('Current Cycle Tracker'!$Q$2:$Q$200,('Current Cycle Tracker'!$B$2:$B$200="Person 1")*('Current Cycle Tracker'!$P$2:$P$200="Yes")),ROWS($A$6:A23)),"")</x:f>
        <x:v>Up to $150 Jan-Jun at Sapphire Reserve Exclusive Tables restaurants.</x:v>
      </x:c>
    </x:row>
    <x:row r="24">
      <x:c r="A24" t="str">
        <x:f>IFERROR(INDEX(FILTER('Current Cycle Tracker'!$C$2:$C$200,('Current Cycle Tracker'!$B$2:$B$200="Person 1")*('Current Cycle Tracker'!$P$2:$P$200="Yes")),ROWS($A$6:A24)),"")</x:f>
        <x:v>Chase Sapphire Reserve</x:v>
      </x:c>
      <x:c r="B24" t="str">
        <x:f>IFERROR(INDEX(FILTER('Current Cycle Tracker'!$D$2:$D$200,('Current Cycle Tracker'!$B$2:$B$200="Person 1")*('Current Cycle Tracker'!$P$2:$P$200="Yes")),ROWS($A$6:A24)),"")</x:f>
        <x:v>Sapphire Reserve Dining Credit H2</x:v>
      </x:c>
      <x:c r="C24" t="str">
        <x:f>IFERROR(INDEX(FILTER('Current Cycle Tracker'!$G$2:$G$200,('Current Cycle Tracker'!$B$2:$B$200="Person 1")*('Current Cycle Tracker'!$P$2:$P$200="Yes")),ROWS($A$6:A24)),"")</x:f>
        <x:v>2026-H2</x:v>
      </x:c>
      <x:c r="D24" t="n">
        <x:f>IFERROR(INDEX(FILTER('Current Cycle Tracker'!$H$2:$H$200,('Current Cycle Tracker'!$B$2:$B$200="Person 1")*('Current Cycle Tracker'!$P$2:$P$200="Yes")),ROWS($A$6:A24)),"")</x:f>
        <x:v>46387</x:v>
      </x:c>
      <x:c r="E24" t="n">
        <x:f>IFERROR(INDEX(FILTER('Current Cycle Tracker'!$I$2:$I$200,('Current Cycle Tracker'!$B$2:$B$200="Person 1")*('Current Cycle Tracker'!$P$2:$P$200="Yes")),ROWS($A$6:A24)),"")</x:f>
        <x:v>150</x:v>
      </x:c>
      <x:c r="F24" t="n">
        <x:f>IFERROR(INDEX(FILTER('Current Cycle Tracker'!$J$2:$J$200,('Current Cycle Tracker'!$B$2:$B$200="Person 1")*('Current Cycle Tracker'!$P$2:$P$200="Yes")),ROWS($A$6:A24)),"")</x:f>
        <x:v>0</x:v>
      </x:c>
      <x:c r="G24" t="n">
        <x:f>IFERROR(INDEX(FILTER('Current Cycle Tracker'!$K$2:$K$200,('Current Cycle Tracker'!$B$2:$B$200="Person 1")*('Current Cycle Tracker'!$P$2:$P$200="Yes")),ROWS($A$6:A24)),"")</x:f>
        <x:v>150</x:v>
      </x:c>
      <x:c r="H24" t="n">
        <x:f>IFERROR(INDEX(FILTER('Current Cycle Tracker'!$L$2:$L$200,('Current Cycle Tracker'!$B$2:$B$200="Person 1")*('Current Cycle Tracker'!$P$2:$P$200="Yes")),ROWS($A$6:A24)),"")</x:f>
        <x:v>0</x:v>
      </x:c>
      <x:c r="I24" t="str">
        <x:f>IF(H24="","",IF(H24&gt;=1,"✅","☐"))</x:f>
      </x:c>
      <x:c r="J24" t="str">
        <x:f>IFERROR(INDEX(FILTER('Current Cycle Tracker'!$M$2:$M$200,('Current Cycle Tracker'!$B$2:$B$200="Person 1")*('Current Cycle Tracker'!$P$2:$P$200="Yes")),ROWS($A$6:A24)),"")</x:f>
        <x:v>Not Used</x:v>
      </x:c>
      <x:c r="K24" t="n">
        <x:f>IFERROR(INDEX(FILTER('Current Cycle Tracker'!$N$2:$N$200,('Current Cycle Tracker'!$B$2:$B$200="Person 1")*('Current Cycle Tracker'!$P$2:$P$200="Yes")),ROWS($A$6:A24)),"")</x:f>
        <x:v>243</x:v>
      </x:c>
      <x:c r="L24" t="str">
        <x:f>IFERROR(INDEX(FILTER('Current Cycle Tracker'!$Q$2:$Q$200,('Current Cycle Tracker'!$B$2:$B$200="Person 1")*('Current Cycle Tracker'!$P$2:$P$200="Yes")),ROWS($A$6:A24)),"")</x:f>
        <x:v>Up to $150 Jul-Dec at Sapphire Reserve Exclusive Tables restaurants.</x:v>
      </x:c>
    </x:row>
    <x:row r="25">
      <x:c r="A25" t="str">
        <x:f>IFERROR(INDEX(FILTER('Current Cycle Tracker'!$C$2:$C$200,('Current Cycle Tracker'!$B$2:$B$200="Person 1")*('Current Cycle Tracker'!$P$2:$P$200="Yes")),ROWS($A$6:A25)),"")</x:f>
        <x:v>Chase Sapphire Reserve</x:v>
      </x:c>
      <x:c r="B25" t="str">
        <x:f>IFERROR(INDEX(FILTER('Current Cycle Tracker'!$D$2:$D$200,('Current Cycle Tracker'!$B$2:$B$200="Person 1")*('Current Cycle Tracker'!$P$2:$P$200="Yes")),ROWS($A$6:A25)),"")</x:f>
        <x:v>StubHub / viagogo Credit H1</x:v>
      </x:c>
      <x:c r="C25" t="str">
        <x:f>IFERROR(INDEX(FILTER('Current Cycle Tracker'!$G$2:$G$200,('Current Cycle Tracker'!$B$2:$B$200="Person 1")*('Current Cycle Tracker'!$P$2:$P$200="Yes")),ROWS($A$6:A25)),"")</x:f>
        <x:v>2026-H1</x:v>
      </x:c>
      <x:c r="D25" t="n">
        <x:f>IFERROR(INDEX(FILTER('Current Cycle Tracker'!$H$2:$H$200,('Current Cycle Tracker'!$B$2:$B$200="Person 1")*('Current Cycle Tracker'!$P$2:$P$200="Yes")),ROWS($A$6:A25)),"")</x:f>
        <x:v>46203</x:v>
      </x:c>
      <x:c r="E25" t="n">
        <x:f>IFERROR(INDEX(FILTER('Current Cycle Tracker'!$I$2:$I$200,('Current Cycle Tracker'!$B$2:$B$200="Person 1")*('Current Cycle Tracker'!$P$2:$P$200="Yes")),ROWS($A$6:A25)),"")</x:f>
        <x:v>150</x:v>
      </x:c>
      <x:c r="F25" t="n">
        <x:f>IFERROR(INDEX(FILTER('Current Cycle Tracker'!$J$2:$J$200,('Current Cycle Tracker'!$B$2:$B$200="Person 1")*('Current Cycle Tracker'!$P$2:$P$200="Yes")),ROWS($A$6:A25)),"")</x:f>
        <x:v>0</x:v>
      </x:c>
      <x:c r="G25" t="n">
        <x:f>IFERROR(INDEX(FILTER('Current Cycle Tracker'!$K$2:$K$200,('Current Cycle Tracker'!$B$2:$B$200="Person 1")*('Current Cycle Tracker'!$P$2:$P$200="Yes")),ROWS($A$6:A25)),"")</x:f>
        <x:v>150</x:v>
      </x:c>
      <x:c r="H25" t="n">
        <x:f>IFERROR(INDEX(FILTER('Current Cycle Tracker'!$L$2:$L$200,('Current Cycle Tracker'!$B$2:$B$200="Person 1")*('Current Cycle Tracker'!$P$2:$P$200="Yes")),ROWS($A$6:A25)),"")</x:f>
        <x:v>0</x:v>
      </x:c>
      <x:c r="I25" t="str">
        <x:f>IF(H25="","",IF(H25&gt;=1,"✅","☐"))</x:f>
      </x:c>
      <x:c r="J25" t="str">
        <x:f>IFERROR(INDEX(FILTER('Current Cycle Tracker'!$M$2:$M$200,('Current Cycle Tracker'!$B$2:$B$200="Person 1")*('Current Cycle Tracker'!$P$2:$P$200="Yes")),ROWS($A$6:A25)),"")</x:f>
        <x:v>Not Used</x:v>
      </x:c>
      <x:c r="K25" t="n">
        <x:f>IFERROR(INDEX(FILTER('Current Cycle Tracker'!$N$2:$N$200,('Current Cycle Tracker'!$B$2:$B$200="Person 1")*('Current Cycle Tracker'!$P$2:$P$200="Yes")),ROWS($A$6:A25)),"")</x:f>
        <x:v>59</x:v>
      </x:c>
      <x:c r="L25" t="str">
        <x:f>IFERROR(INDEX(FILTER('Current Cycle Tracker'!$Q$2:$Q$200,('Current Cycle Tracker'!$B$2:$B$200="Person 1")*('Current Cycle Tracker'!$P$2:$P$200="Yes")),ROWS($A$6:A25)),"")</x:f>
        <x:v>Up to $150 Jan-Jun; activation required.</x:v>
      </x:c>
    </x:row>
    <x:row r="26">
      <x:c r="A26" t="str">
        <x:f>IFERROR(INDEX(FILTER('Current Cycle Tracker'!$C$2:$C$200,('Current Cycle Tracker'!$B$2:$B$200="Person 1")*('Current Cycle Tracker'!$P$2:$P$200="Yes")),ROWS($A$6:A26)),"")</x:f>
        <x:v>Chase Sapphire Reserve</x:v>
      </x:c>
      <x:c r="B26" t="str">
        <x:f>IFERROR(INDEX(FILTER('Current Cycle Tracker'!$D$2:$D$200,('Current Cycle Tracker'!$B$2:$B$200="Person 1")*('Current Cycle Tracker'!$P$2:$P$200="Yes")),ROWS($A$6:A26)),"")</x:f>
        <x:v>StubHub / viagogo Credit H2</x:v>
      </x:c>
      <x:c r="C26" t="str">
        <x:f>IFERROR(INDEX(FILTER('Current Cycle Tracker'!$G$2:$G$200,('Current Cycle Tracker'!$B$2:$B$200="Person 1")*('Current Cycle Tracker'!$P$2:$P$200="Yes")),ROWS($A$6:A26)),"")</x:f>
        <x:v>2026-H2</x:v>
      </x:c>
      <x:c r="D26" t="n">
        <x:f>IFERROR(INDEX(FILTER('Current Cycle Tracker'!$H$2:$H$200,('Current Cycle Tracker'!$B$2:$B$200="Person 1")*('Current Cycle Tracker'!$P$2:$P$200="Yes")),ROWS($A$6:A26)),"")</x:f>
        <x:v>46387</x:v>
      </x:c>
      <x:c r="E26" t="n">
        <x:f>IFERROR(INDEX(FILTER('Current Cycle Tracker'!$I$2:$I$200,('Current Cycle Tracker'!$B$2:$B$200="Person 1")*('Current Cycle Tracker'!$P$2:$P$200="Yes")),ROWS($A$6:A26)),"")</x:f>
        <x:v>150</x:v>
      </x:c>
      <x:c r="F26" t="n">
        <x:f>IFERROR(INDEX(FILTER('Current Cycle Tracker'!$J$2:$J$200,('Current Cycle Tracker'!$B$2:$B$200="Person 1")*('Current Cycle Tracker'!$P$2:$P$200="Yes")),ROWS($A$6:A26)),"")</x:f>
        <x:v>0</x:v>
      </x:c>
      <x:c r="G26" t="n">
        <x:f>IFERROR(INDEX(FILTER('Current Cycle Tracker'!$K$2:$K$200,('Current Cycle Tracker'!$B$2:$B$200="Person 1")*('Current Cycle Tracker'!$P$2:$P$200="Yes")),ROWS($A$6:A26)),"")</x:f>
        <x:v>150</x:v>
      </x:c>
      <x:c r="H26" t="n">
        <x:f>IFERROR(INDEX(FILTER('Current Cycle Tracker'!$L$2:$L$200,('Current Cycle Tracker'!$B$2:$B$200="Person 1")*('Current Cycle Tracker'!$P$2:$P$200="Yes")),ROWS($A$6:A26)),"")</x:f>
        <x:v>0</x:v>
      </x:c>
      <x:c r="I26" t="str">
        <x:f>IF(H26="","",IF(H26&gt;=1,"✅","☐"))</x:f>
      </x:c>
      <x:c r="J26" t="str">
        <x:f>IFERROR(INDEX(FILTER('Current Cycle Tracker'!$M$2:$M$200,('Current Cycle Tracker'!$B$2:$B$200="Person 1")*('Current Cycle Tracker'!$P$2:$P$200="Yes")),ROWS($A$6:A26)),"")</x:f>
        <x:v>Not Used</x:v>
      </x:c>
      <x:c r="K26" t="n">
        <x:f>IFERROR(INDEX(FILTER('Current Cycle Tracker'!$N$2:$N$200,('Current Cycle Tracker'!$B$2:$B$200="Person 1")*('Current Cycle Tracker'!$P$2:$P$200="Yes")),ROWS($A$6:A26)),"")</x:f>
        <x:v>243</x:v>
      </x:c>
      <x:c r="L26" t="str">
        <x:f>IFERROR(INDEX(FILTER('Current Cycle Tracker'!$Q$2:$Q$200,('Current Cycle Tracker'!$B$2:$B$200="Person 1")*('Current Cycle Tracker'!$P$2:$P$200="Yes")),ROWS($A$6:A26)),"")</x:f>
        <x:v>Up to $150 Jul-Dec; activation required.</x:v>
      </x:c>
    </x:row>
    <x:row r="27">
      <x:c r="A27" t="str">
        <x:f>IFERROR(INDEX(FILTER('Current Cycle Tracker'!$C$2:$C$200,('Current Cycle Tracker'!$B$2:$B$200="Person 1")*('Current Cycle Tracker'!$P$2:$P$200="Yes")),ROWS($A$6:A27)),"")</x:f>
        <x:v>Chase Sapphire Reserve</x:v>
      </x:c>
      <x:c r="B27" t="str">
        <x:f>IFERROR(INDEX(FILTER('Current Cycle Tracker'!$D$2:$D$200,('Current Cycle Tracker'!$B$2:$B$200="Person 1")*('Current Cycle Tracker'!$P$2:$P$200="Yes")),ROWS($A$6:A27)),"")</x:f>
        <x:v>Lyft Monthly Credit</x:v>
      </x:c>
      <x:c r="C27" t="str">
        <x:f>IFERROR(INDEX(FILTER('Current Cycle Tracker'!$G$2:$G$200,('Current Cycle Tracker'!$B$2:$B$200="Person 1")*('Current Cycle Tracker'!$P$2:$P$200="Yes")),ROWS($A$6:A27)),"")</x:f>
        <x:v>2026-05</x:v>
      </x:c>
      <x:c r="D27" t="n">
        <x:f>IFERROR(INDEX(FILTER('Current Cycle Tracker'!$H$2:$H$200,('Current Cycle Tracker'!$B$2:$B$200="Person 1")*('Current Cycle Tracker'!$P$2:$P$200="Yes")),ROWS($A$6:A27)),"")</x:f>
        <x:v>46173</x:v>
      </x:c>
      <x:c r="E27" t="n">
        <x:f>IFERROR(INDEX(FILTER('Current Cycle Tracker'!$I$2:$I$200,('Current Cycle Tracker'!$B$2:$B$200="Person 1")*('Current Cycle Tracker'!$P$2:$P$200="Yes")),ROWS($A$6:A27)),"")</x:f>
        <x:v>10</x:v>
      </x:c>
      <x:c r="F27" t="n">
        <x:f>IFERROR(INDEX(FILTER('Current Cycle Tracker'!$J$2:$J$200,('Current Cycle Tracker'!$B$2:$B$200="Person 1")*('Current Cycle Tracker'!$P$2:$P$200="Yes")),ROWS($A$6:A27)),"")</x:f>
        <x:v>0</x:v>
      </x:c>
      <x:c r="G27" t="n">
        <x:f>IFERROR(INDEX(FILTER('Current Cycle Tracker'!$K$2:$K$200,('Current Cycle Tracker'!$B$2:$B$200="Person 1")*('Current Cycle Tracker'!$P$2:$P$200="Yes")),ROWS($A$6:A27)),"")</x:f>
        <x:v>10</x:v>
      </x:c>
      <x:c r="H27" t="n">
        <x:f>IFERROR(INDEX(FILTER('Current Cycle Tracker'!$L$2:$L$200,('Current Cycle Tracker'!$B$2:$B$200="Person 1")*('Current Cycle Tracker'!$P$2:$P$200="Yes")),ROWS($A$6:A27)),"")</x:f>
        <x:v>0</x:v>
      </x:c>
      <x:c r="I27" t="str">
        <x:f>IF(H27="","",IF(H27&gt;=1,"✅","☐"))</x:f>
      </x:c>
      <x:c r="J27" t="str">
        <x:f>IFERROR(INDEX(FILTER('Current Cycle Tracker'!$M$2:$M$200,('Current Cycle Tracker'!$B$2:$B$200="Person 1")*('Current Cycle Tracker'!$P$2:$P$200="Yes")),ROWS($A$6:A27)),"")</x:f>
        <x:v>Not Used</x:v>
      </x:c>
      <x:c r="K27" t="n">
        <x:f>IFERROR(INDEX(FILTER('Current Cycle Tracker'!$N$2:$N$200,('Current Cycle Tracker'!$B$2:$B$200="Person 1")*('Current Cycle Tracker'!$P$2:$P$200="Yes")),ROWS($A$6:A27)),"")</x:f>
        <x:v>29</x:v>
      </x:c>
      <x:c r="L27" t="str">
        <x:f>IFERROR(INDEX(FILTER('Current Cycle Tracker'!$Q$2:$Q$200,('Current Cycle Tracker'!$B$2:$B$200="Person 1")*('Current Cycle Tracker'!$P$2:$P$200="Yes")),ROWS($A$6:A27)),"")</x:f>
        <x:v>Up to $10/month Lyft credit through 9/30/2027.</x:v>
      </x:c>
    </x:row>
    <x:row r="28">
      <x:c r="A28" t="str">
        <x:f>IFERROR(INDEX(FILTER('Current Cycle Tracker'!$C$2:$C$200,('Current Cycle Tracker'!$B$2:$B$200="Person 1")*('Current Cycle Tracker'!$P$2:$P$200="Yes")),ROWS($A$6:A28)),"")</x:f>
        <x:v>Chase Sapphire Reserve</x:v>
      </x:c>
      <x:c r="B28" t="str">
        <x:f>IFERROR(INDEX(FILTER('Current Cycle Tracker'!$D$2:$D$200,('Current Cycle Tracker'!$B$2:$B$200="Person 1")*('Current Cycle Tracker'!$P$2:$P$200="Yes")),ROWS($A$6:A28)),"")</x:f>
        <x:v>DoorDash Promos</x:v>
      </x:c>
      <x:c r="C28" t="str">
        <x:f>IFERROR(INDEX(FILTER('Current Cycle Tracker'!$G$2:$G$200,('Current Cycle Tracker'!$B$2:$B$200="Person 1")*('Current Cycle Tracker'!$P$2:$P$200="Yes")),ROWS($A$6:A28)),"")</x:f>
        <x:v>2026-05</x:v>
      </x:c>
      <x:c r="D28" t="n">
        <x:f>IFERROR(INDEX(FILTER('Current Cycle Tracker'!$H$2:$H$200,('Current Cycle Tracker'!$B$2:$B$200="Person 1")*('Current Cycle Tracker'!$P$2:$P$200="Yes")),ROWS($A$6:A28)),"")</x:f>
        <x:v>46173</x:v>
      </x:c>
      <x:c r="E28" t="n">
        <x:f>IFERROR(INDEX(FILTER('Current Cycle Tracker'!$I$2:$I$200,('Current Cycle Tracker'!$B$2:$B$200="Person 1")*('Current Cycle Tracker'!$P$2:$P$200="Yes")),ROWS($A$6:A28)),"")</x:f>
        <x:v>25</x:v>
      </x:c>
      <x:c r="F28" t="n">
        <x:f>IFERROR(INDEX(FILTER('Current Cycle Tracker'!$J$2:$J$200,('Current Cycle Tracker'!$B$2:$B$200="Person 1")*('Current Cycle Tracker'!$P$2:$P$200="Yes")),ROWS($A$6:A28)),"")</x:f>
        <x:v>0</x:v>
      </x:c>
      <x:c r="G28" t="n">
        <x:f>IFERROR(INDEX(FILTER('Current Cycle Tracker'!$K$2:$K$200,('Current Cycle Tracker'!$B$2:$B$200="Person 1")*('Current Cycle Tracker'!$P$2:$P$200="Yes")),ROWS($A$6:A28)),"")</x:f>
        <x:v>25</x:v>
      </x:c>
      <x:c r="H28" t="n">
        <x:f>IFERROR(INDEX(FILTER('Current Cycle Tracker'!$L$2:$L$200,('Current Cycle Tracker'!$B$2:$B$200="Person 1")*('Current Cycle Tracker'!$P$2:$P$200="Yes")),ROWS($A$6:A28)),"")</x:f>
        <x:v>0</x:v>
      </x:c>
      <x:c r="I28" t="str">
        <x:f>IF(H28="","",IF(H28&gt;=1,"✅","☐"))</x:f>
      </x:c>
      <x:c r="J28" t="str">
        <x:f>IFERROR(INDEX(FILTER('Current Cycle Tracker'!$M$2:$M$200,('Current Cycle Tracker'!$B$2:$B$200="Person 1")*('Current Cycle Tracker'!$P$2:$P$200="Yes")),ROWS($A$6:A28)),"")</x:f>
        <x:v>Not Used</x:v>
      </x:c>
      <x:c r="K28" t="n">
        <x:f>IFERROR(INDEX(FILTER('Current Cycle Tracker'!$N$2:$N$200,('Current Cycle Tracker'!$B$2:$B$200="Person 1")*('Current Cycle Tracker'!$P$2:$P$200="Yes")),ROWS($A$6:A28)),"")</x:f>
        <x:v>29</x:v>
      </x:c>
      <x:c r="L28" t="str">
        <x:f>IFERROR(INDEX(FILTER('Current Cycle Tracker'!$Q$2:$Q$200,('Current Cycle Tracker'!$B$2:$B$200="Person 1")*('Current Cycle Tracker'!$P$2:$P$200="Yes")),ROWS($A$6:A28)),"")</x:f>
        <x:v>Chase advertises up to $300 in DoorDash promos annually; verify monthly split in app.</x:v>
      </x:c>
    </x:row>
    <x:row r="29">
      <x:c r="A29" t="str">
        <x:f>IFERROR(INDEX(FILTER('Current Cycle Tracker'!$C$2:$C$200,('Current Cycle Tracker'!$B$2:$B$200="Person 1")*('Current Cycle Tracker'!$P$2:$P$200="Yes")),ROWS($A$6:A29)),"")</x:f>
        <x:v>Chase Sapphire Reserve</x:v>
      </x:c>
      <x:c r="B29" t="str">
        <x:f>IFERROR(INDEX(FILTER('Current Cycle Tracker'!$D$2:$D$200,('Current Cycle Tracker'!$B$2:$B$200="Person 1")*('Current Cycle Tracker'!$P$2:$P$200="Yes")),ROWS($A$6:A29)),"")</x:f>
        <x:v>The Edit Hotel Credit</x:v>
      </x:c>
      <x:c r="C29" t="n">
        <x:f>IFERROR(INDEX(FILTER('Current Cycle Tracker'!$G$2:$G$200,('Current Cycle Tracker'!$B$2:$B$200="Person 1")*('Current Cycle Tracker'!$P$2:$P$200="Yes")),ROWS($A$6:A29)),"")</x:f>
        <x:v>2026</x:v>
      </x:c>
      <x:c r="D29" t="n">
        <x:f>IFERROR(INDEX(FILTER('Current Cycle Tracker'!$H$2:$H$200,('Current Cycle Tracker'!$B$2:$B$200="Person 1")*('Current Cycle Tracker'!$P$2:$P$200="Yes")),ROWS($A$6:A29)),"")</x:f>
        <x:v>46387</x:v>
      </x:c>
      <x:c r="E29" t="n">
        <x:f>IFERROR(INDEX(FILTER('Current Cycle Tracker'!$I$2:$I$200,('Current Cycle Tracker'!$B$2:$B$200="Person 1")*('Current Cycle Tracker'!$P$2:$P$200="Yes")),ROWS($A$6:A29)),"")</x:f>
        <x:v>500</x:v>
      </x:c>
      <x:c r="F29" t="n">
        <x:f>IFERROR(INDEX(FILTER('Current Cycle Tracker'!$J$2:$J$200,('Current Cycle Tracker'!$B$2:$B$200="Person 1")*('Current Cycle Tracker'!$P$2:$P$200="Yes")),ROWS($A$6:A29)),"")</x:f>
        <x:v>0</x:v>
      </x:c>
      <x:c r="G29" t="n">
        <x:f>IFERROR(INDEX(FILTER('Current Cycle Tracker'!$K$2:$K$200,('Current Cycle Tracker'!$B$2:$B$200="Person 1")*('Current Cycle Tracker'!$P$2:$P$200="Yes")),ROWS($A$6:A29)),"")</x:f>
        <x:v>500</x:v>
      </x:c>
      <x:c r="H29" t="n">
        <x:f>IFERROR(INDEX(FILTER('Current Cycle Tracker'!$L$2:$L$200,('Current Cycle Tracker'!$B$2:$B$200="Person 1")*('Current Cycle Tracker'!$P$2:$P$200="Yes")),ROWS($A$6:A29)),"")</x:f>
        <x:v>0</x:v>
      </x:c>
      <x:c r="I29" t="str">
        <x:f>IF(H29="","",IF(H29&gt;=1,"✅","☐"))</x:f>
      </x:c>
      <x:c r="J29" t="str">
        <x:f>IFERROR(INDEX(FILTER('Current Cycle Tracker'!$M$2:$M$200,('Current Cycle Tracker'!$B$2:$B$200="Person 1")*('Current Cycle Tracker'!$P$2:$P$200="Yes")),ROWS($A$6:A29)),"")</x:f>
        <x:v>Not Used</x:v>
      </x:c>
      <x:c r="K29" t="n">
        <x:f>IFERROR(INDEX(FILTER('Current Cycle Tracker'!$N$2:$N$200,('Current Cycle Tracker'!$B$2:$B$200="Person 1")*('Current Cycle Tracker'!$P$2:$P$200="Yes")),ROWS($A$6:A29)),"")</x:f>
        <x:v>243</x:v>
      </x:c>
      <x:c r="L29" t="str">
        <x:f>IFERROR(INDEX(FILTER('Current Cycle Tracker'!$Q$2:$Q$200,('Current Cycle Tracker'!$B$2:$B$200="Person 1")*('Current Cycle Tracker'!$P$2:$P$200="Yes")),ROWS($A$6:A29)),"")</x:f>
        <x:v>Up to $250 per prepaid booking, up to $500 annually; two-night minimum.</x:v>
      </x:c>
    </x:row>
    <x:row r="30">
      <x:c r="A30" t="str">
        <x:f>IFERROR(INDEX(FILTER('Current Cycle Tracker'!$C$2:$C$200,('Current Cycle Tracker'!$B$2:$B$200="Person 1")*('Current Cycle Tracker'!$P$2:$P$200="Yes")),ROWS($A$6:A30)),"")</x:f>
        <x:v>Chase Sapphire Reserve</x:v>
      </x:c>
      <x:c r="B30" t="str">
        <x:f>IFERROR(INDEX(FILTER('Current Cycle Tracker'!$D$2:$D$200,('Current Cycle Tracker'!$B$2:$B$200="Person 1")*('Current Cycle Tracker'!$P$2:$P$200="Yes")),ROWS($A$6:A30)),"")</x:f>
        <x:v>2026 Select Chase Travel Hotel Credit</x:v>
      </x:c>
      <x:c r="C30" t="str">
        <x:f>IFERROR(INDEX(FILTER('Current Cycle Tracker'!$G$2:$G$200,('Current Cycle Tracker'!$B$2:$B$200="Person 1")*('Current Cycle Tracker'!$P$2:$P$200="Yes")),ROWS($A$6:A30)),"")</x:f>
        <x:v>One-time</x:v>
      </x:c>
      <x:c r="D30" t="n">
        <x:f>IFERROR(INDEX(FILTER('Current Cycle Tracker'!$H$2:$H$200,('Current Cycle Tracker'!$B$2:$B$200="Person 1")*('Current Cycle Tracker'!$P$2:$P$200="Yes")),ROWS($A$6:A30)),"")</x:f>
        <x:v>46387</x:v>
      </x:c>
      <x:c r="E30" t="n">
        <x:f>IFERROR(INDEX(FILTER('Current Cycle Tracker'!$I$2:$I$200,('Current Cycle Tracker'!$B$2:$B$200="Person 1")*('Current Cycle Tracker'!$P$2:$P$200="Yes")),ROWS($A$6:A30)),"")</x:f>
        <x:v>250</x:v>
      </x:c>
      <x:c r="F30" t="n">
        <x:f>IFERROR(INDEX(FILTER('Current Cycle Tracker'!$J$2:$J$200,('Current Cycle Tracker'!$B$2:$B$200="Person 1")*('Current Cycle Tracker'!$P$2:$P$200="Yes")),ROWS($A$6:A30)),"")</x:f>
        <x:v>0</x:v>
      </x:c>
      <x:c r="G30" t="n">
        <x:f>IFERROR(INDEX(FILTER('Current Cycle Tracker'!$K$2:$K$200,('Current Cycle Tracker'!$B$2:$B$200="Person 1")*('Current Cycle Tracker'!$P$2:$P$200="Yes")),ROWS($A$6:A30)),"")</x:f>
        <x:v>250</x:v>
      </x:c>
      <x:c r="H30" t="n">
        <x:f>IFERROR(INDEX(FILTER('Current Cycle Tracker'!$L$2:$L$200,('Current Cycle Tracker'!$B$2:$B$200="Person 1")*('Current Cycle Tracker'!$P$2:$P$200="Yes")),ROWS($A$6:A30)),"")</x:f>
        <x:v>0</x:v>
      </x:c>
      <x:c r="I30" t="str">
        <x:f>IF(H30="","",IF(H30&gt;=1,"✅","☐"))</x:f>
      </x:c>
      <x:c r="J30" t="str">
        <x:f>IFERROR(INDEX(FILTER('Current Cycle Tracker'!$M$2:$M$200,('Current Cycle Tracker'!$B$2:$B$200="Person 1")*('Current Cycle Tracker'!$P$2:$P$200="Yes")),ROWS($A$6:A30)),"")</x:f>
        <x:v>Not Used</x:v>
      </x:c>
      <x:c r="K30" t="n">
        <x:f>IFERROR(INDEX(FILTER('Current Cycle Tracker'!$N$2:$N$200,('Current Cycle Tracker'!$B$2:$B$200="Person 1")*('Current Cycle Tracker'!$P$2:$P$200="Yes")),ROWS($A$6:A30)),"")</x:f>
        <x:v>243</x:v>
      </x:c>
      <x:c r="L30" t="str">
        <x:f>IFERROR(INDEX(FILTER('Current Cycle Tracker'!$Q$2:$Q$200,('Current Cycle Tracker'!$B$2:$B$200="Person 1")*('Current Cycle Tracker'!$P$2:$P$200="Yes")),ROWS($A$6:A30)),"")</x:f>
        <x:v>2026-only select Chase Travel hotel credit; two-night minimum; verify eligible brands.</x:v>
      </x:c>
    </x:row>
    <x:row r="31">
      <x:c r="A31" t="str">
        <x:f>IFERROR(INDEX(FILTER('Current Cycle Tracker'!$C$2:$C$200,('Current Cycle Tracker'!$B$2:$B$200="Person 1")*('Current Cycle Tracker'!$P$2:$P$200="Yes")),ROWS($A$6:A31)),"")</x:f>
        <x:v>Chase United Quest</x:v>
      </x:c>
      <x:c r="B31" t="str">
        <x:f>IFERROR(INDEX(FILTER('Current Cycle Tracker'!$D$2:$D$200,('Current Cycle Tracker'!$B$2:$B$200="Person 1")*('Current Cycle Tracker'!$P$2:$P$200="Yes")),ROWS($A$6:A31)),"")</x:f>
        <x:v>United Travel Credit</x:v>
      </x:c>
      <x:c r="C31" t="n">
        <x:f>IFERROR(INDEX(FILTER('Current Cycle Tracker'!$G$2:$G$200,('Current Cycle Tracker'!$B$2:$B$200="Person 1")*('Current Cycle Tracker'!$P$2:$P$200="Yes")),ROWS($A$6:A31)),"")</x:f>
        <x:v>2026</x:v>
      </x:c>
      <x:c r="D31" t="str">
        <x:f>IFERROR(INDEX(FILTER('Current Cycle Tracker'!$H$2:$H$200,('Current Cycle Tracker'!$B$2:$B$200="Person 1")*('Current Cycle Tracker'!$P$2:$P$200="Yes")),ROWS($A$6:A31)),"")</x:f>
        <x:v>Enter open date</x:v>
      </x:c>
      <x:c r="E31" t="n">
        <x:f>IFERROR(INDEX(FILTER('Current Cycle Tracker'!$I$2:$I$200,('Current Cycle Tracker'!$B$2:$B$200="Person 1")*('Current Cycle Tracker'!$P$2:$P$200="Yes")),ROWS($A$6:A31)),"")</x:f>
        <x:v>200</x:v>
      </x:c>
      <x:c r="F31" t="n">
        <x:f>IFERROR(INDEX(FILTER('Current Cycle Tracker'!$J$2:$J$200,('Current Cycle Tracker'!$B$2:$B$200="Person 1")*('Current Cycle Tracker'!$P$2:$P$200="Yes")),ROWS($A$6:A31)),"")</x:f>
        <x:v>0</x:v>
      </x:c>
      <x:c r="G31" t="n">
        <x:f>IFERROR(INDEX(FILTER('Current Cycle Tracker'!$K$2:$K$200,('Current Cycle Tracker'!$B$2:$B$200="Person 1")*('Current Cycle Tracker'!$P$2:$P$200="Yes")),ROWS($A$6:A31)),"")</x:f>
        <x:v>200</x:v>
      </x:c>
      <x:c r="H31" t="n">
        <x:f>IFERROR(INDEX(FILTER('Current Cycle Tracker'!$L$2:$L$200,('Current Cycle Tracker'!$B$2:$B$200="Person 1")*('Current Cycle Tracker'!$P$2:$P$200="Yes")),ROWS($A$6:A31)),"")</x:f>
        <x:v>0</x:v>
      </x:c>
      <x:c r="I31" t="str">
        <x:f>IF(H31="","",IF(H31&gt;=1,"✅","☐"))</x:f>
      </x:c>
      <x:c r="J31" t="str">
        <x:f>IFERROR(INDEX(FILTER('Current Cycle Tracker'!$M$2:$M$200,('Current Cycle Tracker'!$B$2:$B$200="Person 1")*('Current Cycle Tracker'!$P$2:$P$200="Yes")),ROWS($A$6:A31)),"")</x:f>
        <x:v>Review Terms</x:v>
      </x:c>
      <x:c r="K31" t="str">
        <x:f>IFERROR(INDEX(FILTER('Current Cycle Tracker'!$N$2:$N$200,('Current Cycle Tracker'!$B$2:$B$200="Person 1")*('Current Cycle Tracker'!$P$2:$P$200="Yes")),ROWS($A$6:A31)),"")</x:f>
      </x:c>
      <x:c r="L31" t="str">
        <x:f>IFERROR(INDEX(FILTER('Current Cycle Tracker'!$Q$2:$Q$200,('Current Cycle Tracker'!$B$2:$B$200="Person 1")*('Current Cycle Tracker'!$P$2:$P$200="Yes")),ROWS($A$6:A31)),"")</x:f>
        <x:v>Current Chase page advertises $200 United travel credit; verify account terms.</x:v>
      </x:c>
    </x:row>
    <x:row r="32">
      <x:c r="A32" t="str">
        <x:f>IFERROR(INDEX(FILTER('Current Cycle Tracker'!$C$2:$C$200,('Current Cycle Tracker'!$B$2:$B$200="Person 1")*('Current Cycle Tracker'!$P$2:$P$200="Yes")),ROWS($A$6:A32)),"")</x:f>
        <x:v>Chase United Quest</x:v>
      </x:c>
      <x:c r="B32" t="str">
        <x:f>IFERROR(INDEX(FILTER('Current Cycle Tracker'!$D$2:$D$200,('Current Cycle Tracker'!$B$2:$B$200="Person 1")*('Current Cycle Tracker'!$P$2:$P$200="Yes")),ROWS($A$6:A32)),"")</x:f>
        <x:v>Rideshare Credit</x:v>
      </x:c>
      <x:c r="C32" t="str">
        <x:f>IFERROR(INDEX(FILTER('Current Cycle Tracker'!$G$2:$G$200,('Current Cycle Tracker'!$B$2:$B$200="Person 1")*('Current Cycle Tracker'!$P$2:$P$200="Yes")),ROWS($A$6:A32)),"")</x:f>
        <x:v>2026-05</x:v>
      </x:c>
      <x:c r="D32" t="n">
        <x:f>IFERROR(INDEX(FILTER('Current Cycle Tracker'!$H$2:$H$200,('Current Cycle Tracker'!$B$2:$B$200="Person 1")*('Current Cycle Tracker'!$P$2:$P$200="Yes")),ROWS($A$6:A32)),"")</x:f>
        <x:v>46173</x:v>
      </x:c>
      <x:c r="E32" t="n">
        <x:f>IFERROR(INDEX(FILTER('Current Cycle Tracker'!$I$2:$I$200,('Current Cycle Tracker'!$B$2:$B$200="Person 1")*('Current Cycle Tracker'!$P$2:$P$200="Yes")),ROWS($A$6:A32)),"")</x:f>
        <x:v>8</x:v>
      </x:c>
      <x:c r="F32" t="n">
        <x:f>IFERROR(INDEX(FILTER('Current Cycle Tracker'!$J$2:$J$200,('Current Cycle Tracker'!$B$2:$B$200="Person 1")*('Current Cycle Tracker'!$P$2:$P$200="Yes")),ROWS($A$6:A32)),"")</x:f>
        <x:v>0</x:v>
      </x:c>
      <x:c r="G32" t="n">
        <x:f>IFERROR(INDEX(FILTER('Current Cycle Tracker'!$K$2:$K$200,('Current Cycle Tracker'!$B$2:$B$200="Person 1")*('Current Cycle Tracker'!$P$2:$P$200="Yes")),ROWS($A$6:A32)),"")</x:f>
        <x:v>8</x:v>
      </x:c>
      <x:c r="H32" t="n">
        <x:f>IFERROR(INDEX(FILTER('Current Cycle Tracker'!$L$2:$L$200,('Current Cycle Tracker'!$B$2:$B$200="Person 1")*('Current Cycle Tracker'!$P$2:$P$200="Yes")),ROWS($A$6:A32)),"")</x:f>
        <x:v>0</x:v>
      </x:c>
      <x:c r="I32" t="str">
        <x:f>IF(H32="","",IF(H32&gt;=1,"✅","☐"))</x:f>
      </x:c>
      <x:c r="J32" t="str">
        <x:f>IFERROR(INDEX(FILTER('Current Cycle Tracker'!$M$2:$M$200,('Current Cycle Tracker'!$B$2:$B$200="Person 1")*('Current Cycle Tracker'!$P$2:$P$200="Yes")),ROWS($A$6:A32)),"")</x:f>
        <x:v>Not Used</x:v>
      </x:c>
      <x:c r="K32" t="n">
        <x:f>IFERROR(INDEX(FILTER('Current Cycle Tracker'!$N$2:$N$200,('Current Cycle Tracker'!$B$2:$B$200="Person 1")*('Current Cycle Tracker'!$P$2:$P$200="Yes")),ROWS($A$6:A32)),"")</x:f>
        <x:v>29</x:v>
      </x:c>
      <x:c r="L32" t="str">
        <x:f>IFERROR(INDEX(FILTER('Current Cycle Tracker'!$Q$2:$Q$200,('Current Cycle Tracker'!$B$2:$B$200="Person 1")*('Current Cycle Tracker'!$P$2:$P$200="Yes")),ROWS($A$6:A32)),"")</x:f>
        <x:v>$8 Jan-Nov; December may be $12; yearly opt-in required.</x:v>
      </x:c>
    </x:row>
    <x:row r="33">
      <x:c r="A33" t="str">
        <x:f>IFERROR(INDEX(FILTER('Current Cycle Tracker'!$C$2:$C$200,('Current Cycle Tracker'!$B$2:$B$200="Person 1")*('Current Cycle Tracker'!$P$2:$P$200="Yes")),ROWS($A$6:A33)),"")</x:f>
        <x:v>Chase United Quest</x:v>
      </x:c>
      <x:c r="B33" t="str">
        <x:f>IFERROR(INDEX(FILTER('Current Cycle Tracker'!$D$2:$D$200,('Current Cycle Tracker'!$B$2:$B$200="Person 1")*('Current Cycle Tracker'!$P$2:$P$200="Yes")),ROWS($A$6:A33)),"")</x:f>
        <x:v>Renowned Hotels Credit</x:v>
      </x:c>
      <x:c r="C33" t="n">
        <x:f>IFERROR(INDEX(FILTER('Current Cycle Tracker'!$G$2:$G$200,('Current Cycle Tracker'!$B$2:$B$200="Person 1")*('Current Cycle Tracker'!$P$2:$P$200="Yes")),ROWS($A$6:A33)),"")</x:f>
        <x:v>2026</x:v>
      </x:c>
      <x:c r="D33" t="str">
        <x:f>IFERROR(INDEX(FILTER('Current Cycle Tracker'!$H$2:$H$200,('Current Cycle Tracker'!$B$2:$B$200="Person 1")*('Current Cycle Tracker'!$P$2:$P$200="Yes")),ROWS($A$6:A33)),"")</x:f>
        <x:v>Enter open date</x:v>
      </x:c>
      <x:c r="E33" t="n">
        <x:f>IFERROR(INDEX(FILTER('Current Cycle Tracker'!$I$2:$I$200,('Current Cycle Tracker'!$B$2:$B$200="Person 1")*('Current Cycle Tracker'!$P$2:$P$200="Yes")),ROWS($A$6:A33)),"")</x:f>
        <x:v>150</x:v>
      </x:c>
      <x:c r="F33" t="n">
        <x:f>IFERROR(INDEX(FILTER('Current Cycle Tracker'!$J$2:$J$200,('Current Cycle Tracker'!$B$2:$B$200="Person 1")*('Current Cycle Tracker'!$P$2:$P$200="Yes")),ROWS($A$6:A33)),"")</x:f>
        <x:v>0</x:v>
      </x:c>
      <x:c r="G33" t="n">
        <x:f>IFERROR(INDEX(FILTER('Current Cycle Tracker'!$K$2:$K$200,('Current Cycle Tracker'!$B$2:$B$200="Person 1")*('Current Cycle Tracker'!$P$2:$P$200="Yes")),ROWS($A$6:A33)),"")</x:f>
        <x:v>150</x:v>
      </x:c>
      <x:c r="H33" t="n">
        <x:f>IFERROR(INDEX(FILTER('Current Cycle Tracker'!$L$2:$L$200,('Current Cycle Tracker'!$B$2:$B$200="Person 1")*('Current Cycle Tracker'!$P$2:$P$200="Yes")),ROWS($A$6:A33)),"")</x:f>
        <x:v>0</x:v>
      </x:c>
      <x:c r="I33" t="str">
        <x:f>IF(H33="","",IF(H33&gt;=1,"✅","☐"))</x:f>
      </x:c>
      <x:c r="J33" t="str">
        <x:f>IFERROR(INDEX(FILTER('Current Cycle Tracker'!$M$2:$M$200,('Current Cycle Tracker'!$B$2:$B$200="Person 1")*('Current Cycle Tracker'!$P$2:$P$200="Yes")),ROWS($A$6:A33)),"")</x:f>
        <x:v>Review Terms</x:v>
      </x:c>
      <x:c r="K33" t="str">
        <x:f>IFERROR(INDEX(FILTER('Current Cycle Tracker'!$N$2:$N$200,('Current Cycle Tracker'!$B$2:$B$200="Person 1")*('Current Cycle Tracker'!$P$2:$P$200="Yes")),ROWS($A$6:A33)),"")</x:f>
      </x:c>
      <x:c r="L33" t="str">
        <x:f>IFERROR(INDEX(FILTER('Current Cycle Tracker'!$Q$2:$Q$200,('Current Cycle Tracker'!$B$2:$B$200="Person 1")*('Current Cycle Tracker'!$P$2:$P$200="Yes")),ROWS($A$6:A33)),"")</x:f>
        <x:v>Up to $150 annually on prepaid Renowned Hotels and Resorts.</x:v>
      </x:c>
    </x:row>
    <x:row r="34">
      <x:c r="A34" t="str">
        <x:f>IFERROR(INDEX(FILTER('Current Cycle Tracker'!$C$2:$C$200,('Current Cycle Tracker'!$B$2:$B$200="Person 1")*('Current Cycle Tracker'!$P$2:$P$200="Yes")),ROWS($A$6:A34)),"")</x:f>
        <x:v>Chase Marriott Bonvoy Boundless (assumed)</x:v>
      </x:c>
      <x:c r="B34" t="str">
        <x:f>IFERROR(INDEX(FILTER('Current Cycle Tracker'!$D$2:$D$200,('Current Cycle Tracker'!$B$2:$B$200="Person 1")*('Current Cycle Tracker'!$P$2:$P$200="Yes")),ROWS($A$6:A34)),"")</x:f>
        <x:v>Annual Free Night Award</x:v>
      </x:c>
      <x:c r="C34" t="n">
        <x:f>IFERROR(INDEX(FILTER('Current Cycle Tracker'!$G$2:$G$200,('Current Cycle Tracker'!$B$2:$B$200="Person 1")*('Current Cycle Tracker'!$P$2:$P$200="Yes")),ROWS($A$6:A34)),"")</x:f>
        <x:v>2026</x:v>
      </x:c>
      <x:c r="D34" t="str">
        <x:f>IFERROR(INDEX(FILTER('Current Cycle Tracker'!$H$2:$H$200,('Current Cycle Tracker'!$B$2:$B$200="Person 1")*('Current Cycle Tracker'!$P$2:$P$200="Yes")),ROWS($A$6:A34)),"")</x:f>
        <x:v>Enter open date</x:v>
      </x:c>
      <x:c r="E34" t="n">
        <x:f>IFERROR(INDEX(FILTER('Current Cycle Tracker'!$I$2:$I$200,('Current Cycle Tracker'!$B$2:$B$200="Person 1")*('Current Cycle Tracker'!$P$2:$P$200="Yes")),ROWS($A$6:A34)),"")</x:f>
        <x:v>250</x:v>
      </x:c>
      <x:c r="F34" t="n">
        <x:f>IFERROR(INDEX(FILTER('Current Cycle Tracker'!$J$2:$J$200,('Current Cycle Tracker'!$B$2:$B$200="Person 1")*('Current Cycle Tracker'!$P$2:$P$200="Yes")),ROWS($A$6:A34)),"")</x:f>
        <x:v>0</x:v>
      </x:c>
      <x:c r="G34" t="n">
        <x:f>IFERROR(INDEX(FILTER('Current Cycle Tracker'!$K$2:$K$200,('Current Cycle Tracker'!$B$2:$B$200="Person 1")*('Current Cycle Tracker'!$P$2:$P$200="Yes")),ROWS($A$6:A34)),"")</x:f>
        <x:v>250</x:v>
      </x:c>
      <x:c r="H34" t="n">
        <x:f>IFERROR(INDEX(FILTER('Current Cycle Tracker'!$L$2:$L$200,('Current Cycle Tracker'!$B$2:$B$200="Person 1")*('Current Cycle Tracker'!$P$2:$P$200="Yes")),ROWS($A$6:A34)),"")</x:f>
        <x:v>0</x:v>
      </x:c>
      <x:c r="I34" t="str">
        <x:f>IF(H34="","",IF(H34&gt;=1,"✅","☐"))</x:f>
      </x:c>
      <x:c r="J34" t="str">
        <x:f>IFERROR(INDEX(FILTER('Current Cycle Tracker'!$M$2:$M$200,('Current Cycle Tracker'!$B$2:$B$200="Person 1")*('Current Cycle Tracker'!$P$2:$P$200="Yes")),ROWS($A$6:A34)),"")</x:f>
        <x:v>Review Terms</x:v>
      </x:c>
      <x:c r="K34" t="str">
        <x:f>IFERROR(INDEX(FILTER('Current Cycle Tracker'!$N$2:$N$200,('Current Cycle Tracker'!$B$2:$B$200="Person 1")*('Current Cycle Tracker'!$P$2:$P$200="Yes")),ROWS($A$6:A34)),"")</x:f>
      </x:c>
      <x:c r="L34" t="str">
        <x:f>IFERROR(INDEX(FILTER('Current Cycle Tracker'!$Q$2:$Q$200,('Current Cycle Tracker'!$B$2:$B$200="Person 1")*('Current Cycle Tracker'!$P$2:$P$200="Yes")),ROWS($A$6:A34)),"")</x:f>
        <x:v>Annual free night after account anniversary, up to 35K points; assumed Boundless.</x:v>
      </x:c>
    </x:row>
    <x:row r="35">
      <x:c r="A35" t="str">
        <x:f>IFERROR(INDEX(FILTER('Current Cycle Tracker'!$C$2:$C$200,('Current Cycle Tracker'!$B$2:$B$200="Person 1")*('Current Cycle Tracker'!$P$2:$P$200="Yes")),ROWS($A$6:A35)),"")</x:f>
        <x:v>World of Hyatt Credit Card</x:v>
      </x:c>
      <x:c r="B35" t="str">
        <x:f>IFERROR(INDEX(FILTER('Current Cycle Tracker'!$D$2:$D$200,('Current Cycle Tracker'!$B$2:$B$200="Person 1")*('Current Cycle Tracker'!$P$2:$P$200="Yes")),ROWS($A$6:A35)),"")</x:f>
        <x:v>Annual Category 1-4 Free Night</x:v>
      </x:c>
      <x:c r="C35" t="n">
        <x:f>IFERROR(INDEX(FILTER('Current Cycle Tracker'!$G$2:$G$200,('Current Cycle Tracker'!$B$2:$B$200="Person 1")*('Current Cycle Tracker'!$P$2:$P$200="Yes")),ROWS($A$6:A35)),"")</x:f>
        <x:v>2026</x:v>
      </x:c>
      <x:c r="D35" t="str">
        <x:f>IFERROR(INDEX(FILTER('Current Cycle Tracker'!$H$2:$H$200,('Current Cycle Tracker'!$B$2:$B$200="Person 1")*('Current Cycle Tracker'!$P$2:$P$200="Yes")),ROWS($A$6:A35)),"")</x:f>
        <x:v>Enter open date</x:v>
      </x:c>
      <x:c r="E35" t="n">
        <x:f>IFERROR(INDEX(FILTER('Current Cycle Tracker'!$I$2:$I$200,('Current Cycle Tracker'!$B$2:$B$200="Person 1")*('Current Cycle Tracker'!$P$2:$P$200="Yes")),ROWS($A$6:A35)),"")</x:f>
        <x:v>250</x:v>
      </x:c>
      <x:c r="F35" t="n">
        <x:f>IFERROR(INDEX(FILTER('Current Cycle Tracker'!$J$2:$J$200,('Current Cycle Tracker'!$B$2:$B$200="Person 1")*('Current Cycle Tracker'!$P$2:$P$200="Yes")),ROWS($A$6:A35)),"")</x:f>
        <x:v>0</x:v>
      </x:c>
      <x:c r="G35" t="n">
        <x:f>IFERROR(INDEX(FILTER('Current Cycle Tracker'!$K$2:$K$200,('Current Cycle Tracker'!$B$2:$B$200="Person 1")*('Current Cycle Tracker'!$P$2:$P$200="Yes")),ROWS($A$6:A35)),"")</x:f>
        <x:v>250</x:v>
      </x:c>
      <x:c r="H35" t="n">
        <x:f>IFERROR(INDEX(FILTER('Current Cycle Tracker'!$L$2:$L$200,('Current Cycle Tracker'!$B$2:$B$200="Person 1")*('Current Cycle Tracker'!$P$2:$P$200="Yes")),ROWS($A$6:A35)),"")</x:f>
        <x:v>0</x:v>
      </x:c>
      <x:c r="I35" t="str">
        <x:f>IF(H35="","",IF(H35&gt;=1,"✅","☐"))</x:f>
      </x:c>
      <x:c r="J35" t="str">
        <x:f>IFERROR(INDEX(FILTER('Current Cycle Tracker'!$M$2:$M$200,('Current Cycle Tracker'!$B$2:$B$200="Person 1")*('Current Cycle Tracker'!$P$2:$P$200="Yes")),ROWS($A$6:A35)),"")</x:f>
        <x:v>Review Terms</x:v>
      </x:c>
      <x:c r="K35" t="str">
        <x:f>IFERROR(INDEX(FILTER('Current Cycle Tracker'!$N$2:$N$200,('Current Cycle Tracker'!$B$2:$B$200="Person 1")*('Current Cycle Tracker'!$P$2:$P$200="Yes")),ROWS($A$6:A35)),"")</x:f>
      </x:c>
      <x:c r="L35" t="str">
        <x:f>IFERROR(INDEX(FILTER('Current Cycle Tracker'!$Q$2:$Q$200,('Current Cycle Tracker'!$B$2:$B$200="Person 1")*('Current Cycle Tracker'!$P$2:$P$200="Yes")),ROWS($A$6:A35)),"")</x:f>
        <x:v>Free night at Category 1-4 Hyatt every year after cardmember anniversary.</x:v>
      </x:c>
    </x:row>
    <x:row r="36">
      <x:c r="A36" t="str">
        <x:f>IFERROR(INDEX(FILTER('Current Cycle Tracker'!$C$2:$C$200,('Current Cycle Tracker'!$B$2:$B$200="Person 1")*('Current Cycle Tracker'!$P$2:$P$200="Yes")),ROWS($A$6:A36)),"")</x:f>
        <x:v>World of Hyatt Credit Card</x:v>
      </x:c>
      <x:c r="B36" t="str">
        <x:f>IFERROR(INDEX(FILTER('Current Cycle Tracker'!$D$2:$D$200,('Current Cycle Tracker'!$B$2:$B$200="Person 1")*('Current Cycle Tracker'!$P$2:$P$200="Yes")),ROWS($A$6:A36)),"")</x:f>
        <x:v>Hyatt Statement Credit 1</x:v>
      </x:c>
      <x:c r="C36" t="n">
        <x:f>IFERROR(INDEX(FILTER('Current Cycle Tracker'!$G$2:$G$200,('Current Cycle Tracker'!$B$2:$B$200="Person 1")*('Current Cycle Tracker'!$P$2:$P$200="Yes")),ROWS($A$6:A36)),"")</x:f>
        <x:v>2026</x:v>
      </x:c>
      <x:c r="D36" t="str">
        <x:f>IFERROR(INDEX(FILTER('Current Cycle Tracker'!$H$2:$H$200,('Current Cycle Tracker'!$B$2:$B$200="Person 1")*('Current Cycle Tracker'!$P$2:$P$200="Yes")),ROWS($A$6:A36)),"")</x:f>
        <x:v>Enter open date</x:v>
      </x:c>
      <x:c r="E36" t="n">
        <x:f>IFERROR(INDEX(FILTER('Current Cycle Tracker'!$I$2:$I$200,('Current Cycle Tracker'!$B$2:$B$200="Person 1")*('Current Cycle Tracker'!$P$2:$P$200="Yes")),ROWS($A$6:A36)),"")</x:f>
        <x:v>50</x:v>
      </x:c>
      <x:c r="F36" t="n">
        <x:f>IFERROR(INDEX(FILTER('Current Cycle Tracker'!$J$2:$J$200,('Current Cycle Tracker'!$B$2:$B$200="Person 1")*('Current Cycle Tracker'!$P$2:$P$200="Yes")),ROWS($A$6:A36)),"")</x:f>
        <x:v>0</x:v>
      </x:c>
      <x:c r="G36" t="n">
        <x:f>IFERROR(INDEX(FILTER('Current Cycle Tracker'!$K$2:$K$200,('Current Cycle Tracker'!$B$2:$B$200="Person 1")*('Current Cycle Tracker'!$P$2:$P$200="Yes")),ROWS($A$6:A36)),"")</x:f>
        <x:v>50</x:v>
      </x:c>
      <x:c r="H36" t="n">
        <x:f>IFERROR(INDEX(FILTER('Current Cycle Tracker'!$L$2:$L$200,('Current Cycle Tracker'!$B$2:$B$200="Person 1")*('Current Cycle Tracker'!$P$2:$P$200="Yes")),ROWS($A$6:A36)),"")</x:f>
        <x:v>0</x:v>
      </x:c>
      <x:c r="I36" t="str">
        <x:f>IF(H36="","",IF(H36&gt;=1,"✅","☐"))</x:f>
      </x:c>
      <x:c r="J36" t="str">
        <x:f>IFERROR(INDEX(FILTER('Current Cycle Tracker'!$M$2:$M$200,('Current Cycle Tracker'!$B$2:$B$200="Person 1")*('Current Cycle Tracker'!$P$2:$P$200="Yes")),ROWS($A$6:A36)),"")</x:f>
        <x:v>Review Terms</x:v>
      </x:c>
      <x:c r="K36" t="str">
        <x:f>IFERROR(INDEX(FILTER('Current Cycle Tracker'!$N$2:$N$200,('Current Cycle Tracker'!$B$2:$B$200="Person 1")*('Current Cycle Tracker'!$P$2:$P$200="Yes")),ROWS($A$6:A36)),"")</x:f>
      </x:c>
      <x:c r="L36" t="str">
        <x:f>IFERROR(INDEX(FILTER('Current Cycle Tracker'!$Q$2:$Q$200,('Current Cycle Tracker'!$B$2:$B$200="Person 1")*('Current Cycle Tracker'!$P$2:$P$200="Yes")),ROWS($A$6:A36)),"")</x:f>
        <x:v>Earn $50 statement credit after $50+ at Hyatt, up to two times per anniversary year.</x:v>
      </x:c>
    </x:row>
    <x:row r="37">
      <x:c r="A37" t="str">
        <x:f>IFERROR(INDEX(FILTER('Current Cycle Tracker'!$C$2:$C$200,('Current Cycle Tracker'!$B$2:$B$200="Person 1")*('Current Cycle Tracker'!$P$2:$P$200="Yes")),ROWS($A$6:A37)),"")</x:f>
        <x:v>World of Hyatt Credit Card</x:v>
      </x:c>
      <x:c r="B37" t="str">
        <x:f>IFERROR(INDEX(FILTER('Current Cycle Tracker'!$D$2:$D$200,('Current Cycle Tracker'!$B$2:$B$200="Person 1")*('Current Cycle Tracker'!$P$2:$P$200="Yes")),ROWS($A$6:A37)),"")</x:f>
        <x:v>Hyatt Statement Credit 2</x:v>
      </x:c>
      <x:c r="C37" t="n">
        <x:f>IFERROR(INDEX(FILTER('Current Cycle Tracker'!$G$2:$G$200,('Current Cycle Tracker'!$B$2:$B$200="Person 1")*('Current Cycle Tracker'!$P$2:$P$200="Yes")),ROWS($A$6:A37)),"")</x:f>
        <x:v>2026</x:v>
      </x:c>
      <x:c r="D37" t="str">
        <x:f>IFERROR(INDEX(FILTER('Current Cycle Tracker'!$H$2:$H$200,('Current Cycle Tracker'!$B$2:$B$200="Person 1")*('Current Cycle Tracker'!$P$2:$P$200="Yes")),ROWS($A$6:A37)),"")</x:f>
        <x:v>Enter open date</x:v>
      </x:c>
      <x:c r="E37" t="n">
        <x:f>IFERROR(INDEX(FILTER('Current Cycle Tracker'!$I$2:$I$200,('Current Cycle Tracker'!$B$2:$B$200="Person 1")*('Current Cycle Tracker'!$P$2:$P$200="Yes")),ROWS($A$6:A37)),"")</x:f>
        <x:v>50</x:v>
      </x:c>
      <x:c r="F37" t="n">
        <x:f>IFERROR(INDEX(FILTER('Current Cycle Tracker'!$J$2:$J$200,('Current Cycle Tracker'!$B$2:$B$200="Person 1")*('Current Cycle Tracker'!$P$2:$P$200="Yes")),ROWS($A$6:A37)),"")</x:f>
        <x:v>0</x:v>
      </x:c>
      <x:c r="G37" t="n">
        <x:f>IFERROR(INDEX(FILTER('Current Cycle Tracker'!$K$2:$K$200,('Current Cycle Tracker'!$B$2:$B$200="Person 1")*('Current Cycle Tracker'!$P$2:$P$200="Yes")),ROWS($A$6:A37)),"")</x:f>
        <x:v>50</x:v>
      </x:c>
      <x:c r="H37" t="n">
        <x:f>IFERROR(INDEX(FILTER('Current Cycle Tracker'!$L$2:$L$200,('Current Cycle Tracker'!$B$2:$B$200="Person 1")*('Current Cycle Tracker'!$P$2:$P$200="Yes")),ROWS($A$6:A37)),"")</x:f>
        <x:v>0</x:v>
      </x:c>
      <x:c r="I37" t="str">
        <x:f>IF(H37="","",IF(H37&gt;=1,"✅","☐"))</x:f>
      </x:c>
      <x:c r="J37" t="str">
        <x:f>IFERROR(INDEX(FILTER('Current Cycle Tracker'!$M$2:$M$200,('Current Cycle Tracker'!$B$2:$B$200="Person 1")*('Current Cycle Tracker'!$P$2:$P$200="Yes")),ROWS($A$6:A37)),"")</x:f>
        <x:v>Review Terms</x:v>
      </x:c>
      <x:c r="K37" t="str">
        <x:f>IFERROR(INDEX(FILTER('Current Cycle Tracker'!$N$2:$N$200,('Current Cycle Tracker'!$B$2:$B$200="Person 1")*('Current Cycle Tracker'!$P$2:$P$200="Yes")),ROWS($A$6:A37)),"")</x:f>
      </x:c>
      <x:c r="L37" t="str">
        <x:f>IFERROR(INDEX(FILTER('Current Cycle Tracker'!$Q$2:$Q$200,('Current Cycle Tracker'!$B$2:$B$200="Person 1")*('Current Cycle Tracker'!$P$2:$P$200="Yes")),ROWS($A$6:A37)),"")</x:f>
        <x:v>Second $50 Hyatt statement credit.</x:v>
      </x:c>
    </x:row>
    <x:row r="38">
      <x:c r="A38" t="str">
        <x:f>IFERROR(INDEX(FILTER('Current Cycle Tracker'!$C$2:$C$200,('Current Cycle Tracker'!$B$2:$B$200="Person 1")*('Current Cycle Tracker'!$P$2:$P$200="Yes")),ROWS($A$6:A38)),"")</x:f>
        <x:v>Hilton Honors American Express Surpass (assumed)</x:v>
      </x:c>
      <x:c r="B38" t="str">
        <x:f>IFERROR(INDEX(FILTER('Current Cycle Tracker'!$D$2:$D$200,('Current Cycle Tracker'!$B$2:$B$200="Person 1")*('Current Cycle Tracker'!$P$2:$P$200="Yes")),ROWS($A$6:A38)),"")</x:f>
        <x:v>Quarterly Hilton Credit</x:v>
      </x:c>
      <x:c r="C38" t="str">
        <x:f>IFERROR(INDEX(FILTER('Current Cycle Tracker'!$G$2:$G$200,('Current Cycle Tracker'!$B$2:$B$200="Person 1")*('Current Cycle Tracker'!$P$2:$P$200="Yes")),ROWS($A$6:A38)),"")</x:f>
        <x:v>2026-Q2</x:v>
      </x:c>
      <x:c r="D38" t="n">
        <x:f>IFERROR(INDEX(FILTER('Current Cycle Tracker'!$H$2:$H$200,('Current Cycle Tracker'!$B$2:$B$200="Person 1")*('Current Cycle Tracker'!$P$2:$P$200="Yes")),ROWS($A$6:A38)),"")</x:f>
        <x:v>46203</x:v>
      </x:c>
      <x:c r="E38" t="n">
        <x:f>IFERROR(INDEX(FILTER('Current Cycle Tracker'!$I$2:$I$200,('Current Cycle Tracker'!$B$2:$B$200="Person 1")*('Current Cycle Tracker'!$P$2:$P$200="Yes")),ROWS($A$6:A38)),"")</x:f>
        <x:v>50</x:v>
      </x:c>
      <x:c r="F38" t="n">
        <x:f>IFERROR(INDEX(FILTER('Current Cycle Tracker'!$J$2:$J$200,('Current Cycle Tracker'!$B$2:$B$200="Person 1")*('Current Cycle Tracker'!$P$2:$P$200="Yes")),ROWS($A$6:A38)),"")</x:f>
        <x:v>0</x:v>
      </x:c>
      <x:c r="G38" t="n">
        <x:f>IFERROR(INDEX(FILTER('Current Cycle Tracker'!$K$2:$K$200,('Current Cycle Tracker'!$B$2:$B$200="Person 1")*('Current Cycle Tracker'!$P$2:$P$200="Yes")),ROWS($A$6:A38)),"")</x:f>
        <x:v>50</x:v>
      </x:c>
      <x:c r="H38" t="n">
        <x:f>IFERROR(INDEX(FILTER('Current Cycle Tracker'!$L$2:$L$200,('Current Cycle Tracker'!$B$2:$B$200="Person 1")*('Current Cycle Tracker'!$P$2:$P$200="Yes")),ROWS($A$6:A38)),"")</x:f>
        <x:v>0</x:v>
      </x:c>
      <x:c r="I38" t="str">
        <x:f>IF(H38="","",IF(H38&gt;=1,"✅","☐"))</x:f>
      </x:c>
      <x:c r="J38" t="str">
        <x:f>IFERROR(INDEX(FILTER('Current Cycle Tracker'!$M$2:$M$200,('Current Cycle Tracker'!$B$2:$B$200="Person 1")*('Current Cycle Tracker'!$P$2:$P$200="Yes")),ROWS($A$6:A38)),"")</x:f>
        <x:v>Not Used</x:v>
      </x:c>
      <x:c r="K38" t="n">
        <x:f>IFERROR(INDEX(FILTER('Current Cycle Tracker'!$N$2:$N$200,('Current Cycle Tracker'!$B$2:$B$200="Person 1")*('Current Cycle Tracker'!$P$2:$P$200="Yes")),ROWS($A$6:A38)),"")</x:f>
        <x:v>59</x:v>
      </x:c>
      <x:c r="L38" t="str">
        <x:f>IFERROR(INDEX(FILTER('Current Cycle Tracker'!$Q$2:$Q$200,('Current Cycle Tracker'!$B$2:$B$200="Person 1")*('Current Cycle Tracker'!$P$2:$P$200="Yes")),ROWS($A$6:A38)),"")</x:f>
        <x:v>Assumed Surpass: up to $50 per quarter at Hilton portfolio properties.</x:v>
      </x:c>
    </x:row>
    <x:row r="39">
      <x:c r="A39" t="str">
        <x:f>IFERROR(INDEX(FILTER('Current Cycle Tracker'!$C$2:$C$200,('Current Cycle Tracker'!$B$2:$B$200="Person 1")*('Current Cycle Tracker'!$P$2:$P$200="Yes")),ROWS($A$6:A39)),"")</x:f>
        <x:v>U.S. Bank Altitude Reserve Visa Infinite</x:v>
      </x:c>
      <x:c r="B39" t="str">
        <x:f>IFERROR(INDEX(FILTER('Current Cycle Tracker'!$D$2:$D$200,('Current Cycle Tracker'!$B$2:$B$200="Person 1")*('Current Cycle Tracker'!$P$2:$P$200="Yes")),ROWS($A$6:A39)),"")</x:f>
        <x:v>Annual Travel / Dining Credit</x:v>
      </x:c>
      <x:c r="C39" t="n">
        <x:f>IFERROR(INDEX(FILTER('Current Cycle Tracker'!$G$2:$G$200,('Current Cycle Tracker'!$B$2:$B$200="Person 1")*('Current Cycle Tracker'!$P$2:$P$200="Yes")),ROWS($A$6:A39)),"")</x:f>
        <x:v>2026</x:v>
      </x:c>
      <x:c r="D39" t="str">
        <x:f>IFERROR(INDEX(FILTER('Current Cycle Tracker'!$H$2:$H$200,('Current Cycle Tracker'!$B$2:$B$200="Person 1")*('Current Cycle Tracker'!$P$2:$P$200="Yes")),ROWS($A$6:A39)),"")</x:f>
        <x:v>Enter open date</x:v>
      </x:c>
      <x:c r="E39" t="n">
        <x:f>IFERROR(INDEX(FILTER('Current Cycle Tracker'!$I$2:$I$200,('Current Cycle Tracker'!$B$2:$B$200="Person 1")*('Current Cycle Tracker'!$P$2:$P$200="Yes")),ROWS($A$6:A39)),"")</x:f>
        <x:v>325</x:v>
      </x:c>
      <x:c r="F39" t="n">
        <x:f>IFERROR(INDEX(FILTER('Current Cycle Tracker'!$J$2:$J$200,('Current Cycle Tracker'!$B$2:$B$200="Person 1")*('Current Cycle Tracker'!$P$2:$P$200="Yes")),ROWS($A$6:A39)),"")</x:f>
        <x:v>0</x:v>
      </x:c>
      <x:c r="G39" t="n">
        <x:f>IFERROR(INDEX(FILTER('Current Cycle Tracker'!$K$2:$K$200,('Current Cycle Tracker'!$B$2:$B$200="Person 1")*('Current Cycle Tracker'!$P$2:$P$200="Yes")),ROWS($A$6:A39)),"")</x:f>
        <x:v>325</x:v>
      </x:c>
      <x:c r="H39" t="n">
        <x:f>IFERROR(INDEX(FILTER('Current Cycle Tracker'!$L$2:$L$200,('Current Cycle Tracker'!$B$2:$B$200="Person 1")*('Current Cycle Tracker'!$P$2:$P$200="Yes")),ROWS($A$6:A39)),"")</x:f>
        <x:v>0</x:v>
      </x:c>
      <x:c r="I39" t="str">
        <x:f>IF(H39="","",IF(H39&gt;=1,"✅","☐"))</x:f>
      </x:c>
      <x:c r="J39" t="str">
        <x:f>IFERROR(INDEX(FILTER('Current Cycle Tracker'!$M$2:$M$200,('Current Cycle Tracker'!$B$2:$B$200="Person 1")*('Current Cycle Tracker'!$P$2:$P$200="Yes")),ROWS($A$6:A39)),"")</x:f>
        <x:v>Review Terms</x:v>
      </x:c>
      <x:c r="K39" t="str">
        <x:f>IFERROR(INDEX(FILTER('Current Cycle Tracker'!$N$2:$N$200,('Current Cycle Tracker'!$B$2:$B$200="Person 1")*('Current Cycle Tracker'!$P$2:$P$200="Yes")),ROWS($A$6:A39)),"")</x:f>
      </x:c>
      <x:c r="L39" t="str">
        <x:f>IFERROR(INDEX(FILTER('Current Cycle Tracker'!$Q$2:$Q$200,('Current Cycle Tracker'!$B$2:$B$200="Person 1")*('Current Cycle Tracker'!$P$2:$P$200="Yes")),ROWS($A$6:A39)),"")</x:f>
        <x:v>Official page lists $325 annual credit; terms may have changed for travel center eligibility.</x:v>
      </x:c>
    </x:row>
    <x:row r="40">
      <x:c r="A40" t="str">
        <x:f>IFERROR(INDEX(FILTER('Current Cycle Tracker'!$C$2:$C$200,('Current Cycle Tracker'!$B$2:$B$200="Person 1")*('Current Cycle Tracker'!$P$2:$P$200="Yes")),ROWS($A$6:A40)),"")</x:f>
        <x:v>U.S. Bank Altitude Reserve Visa Infinite</x:v>
      </x:c>
      <x:c r="B40" t="str">
        <x:f>IFERROR(INDEX(FILTER('Current Cycle Tracker'!$D$2:$D$200,('Current Cycle Tracker'!$B$2:$B$200="Person 1")*('Current Cycle Tracker'!$P$2:$P$200="Yes")),ROWS($A$6:A40)),"")</x:f>
        <x:v>Priority Pass Visits</x:v>
      </x:c>
      <x:c r="C40" t="n">
        <x:f>IFERROR(INDEX(FILTER('Current Cycle Tracker'!$G$2:$G$200,('Current Cycle Tracker'!$B$2:$B$200="Person 1")*('Current Cycle Tracker'!$P$2:$P$200="Yes")),ROWS($A$6:A40)),"")</x:f>
        <x:v>2026</x:v>
      </x:c>
      <x:c r="D40" t="n">
        <x:f>IFERROR(INDEX(FILTER('Current Cycle Tracker'!$H$2:$H$200,('Current Cycle Tracker'!$B$2:$B$200="Person 1")*('Current Cycle Tracker'!$P$2:$P$200="Yes")),ROWS($A$6:A40)),"")</x:f>
        <x:v>46387</x:v>
      </x:c>
      <x:c r="E40" t="n">
        <x:f>IFERROR(INDEX(FILTER('Current Cycle Tracker'!$I$2:$I$200,('Current Cycle Tracker'!$B$2:$B$200="Person 1")*('Current Cycle Tracker'!$P$2:$P$200="Yes")),ROWS($A$6:A40)),"")</x:f>
        <x:v>8</x:v>
      </x:c>
      <x:c r="F40" t="n">
        <x:f>IFERROR(INDEX(FILTER('Current Cycle Tracker'!$J$2:$J$200,('Current Cycle Tracker'!$B$2:$B$200="Person 1")*('Current Cycle Tracker'!$P$2:$P$200="Yes")),ROWS($A$6:A40)),"")</x:f>
        <x:v>0</x:v>
      </x:c>
      <x:c r="G40" t="n">
        <x:f>IFERROR(INDEX(FILTER('Current Cycle Tracker'!$K$2:$K$200,('Current Cycle Tracker'!$B$2:$B$200="Person 1")*('Current Cycle Tracker'!$P$2:$P$200="Yes")),ROWS($A$6:A40)),"")</x:f>
        <x:v>8</x:v>
      </x:c>
      <x:c r="H40" t="n">
        <x:f>IFERROR(INDEX(FILTER('Current Cycle Tracker'!$L$2:$L$200,('Current Cycle Tracker'!$B$2:$B$200="Person 1")*('Current Cycle Tracker'!$P$2:$P$200="Yes")),ROWS($A$6:A40)),"")</x:f>
        <x:v>0</x:v>
      </x:c>
      <x:c r="I40" t="str">
        <x:f>IF(H40="","",IF(H40&gt;=1,"✅","☐"))</x:f>
      </x:c>
      <x:c r="J40" t="str">
        <x:f>IFERROR(INDEX(FILTER('Current Cycle Tracker'!$M$2:$M$200,('Current Cycle Tracker'!$B$2:$B$200="Person 1")*('Current Cycle Tracker'!$P$2:$P$200="Yes")),ROWS($A$6:A40)),"")</x:f>
        <x:v>Not Used</x:v>
      </x:c>
      <x:c r="K40" t="n">
        <x:f>IFERROR(INDEX(FILTER('Current Cycle Tracker'!$N$2:$N$200,('Current Cycle Tracker'!$B$2:$B$200="Person 1")*('Current Cycle Tracker'!$P$2:$P$200="Yes")),ROWS($A$6:A40)),"")</x:f>
        <x:v>243</x:v>
      </x:c>
      <x:c r="L40" t="str">
        <x:f>IFERROR(INDEX(FILTER('Current Cycle Tracker'!$Q$2:$Q$200,('Current Cycle Tracker'!$B$2:$B$200="Person 1")*('Current Cycle Tracker'!$P$2:$P$200="Yes")),ROWS($A$6:A40)),"")</x:f>
        <x:v>Track as count: 8 visits per year if you use lounge access.</x:v>
      </x:c>
    </x:row>
    <x:row r="41">
      <x:c r="A41" t="str">
        <x:f>IFERROR(INDEX(FILTER('Current Cycle Tracker'!$C$2:$C$200,('Current Cycle Tracker'!$B$2:$B$200="Person 1")*('Current Cycle Tracker'!$P$2:$P$200="Yes")),ROWS($A$6:A41)),"")</x:f>
      </x:c>
      <x:c r="B41" t="str">
        <x:f>IFERROR(INDEX(FILTER('Current Cycle Tracker'!$D$2:$D$200,('Current Cycle Tracker'!$B$2:$B$200="Person 1")*('Current Cycle Tracker'!$P$2:$P$200="Yes")),ROWS($A$6:A41)),"")</x:f>
      </x:c>
      <x:c r="C41" t="str">
        <x:f>IFERROR(INDEX(FILTER('Current Cycle Tracker'!$G$2:$G$200,('Current Cycle Tracker'!$B$2:$B$200="Person 1")*('Current Cycle Tracker'!$P$2:$P$200="Yes")),ROWS($A$6:A41)),"")</x:f>
      </x:c>
      <x:c r="D41" t="str">
        <x:f>IFERROR(INDEX(FILTER('Current Cycle Tracker'!$H$2:$H$200,('Current Cycle Tracker'!$B$2:$B$200="Person 1")*('Current Cycle Tracker'!$P$2:$P$200="Yes")),ROWS($A$6:A41)),"")</x:f>
      </x:c>
      <x:c r="E41" t="str">
        <x:f>IFERROR(INDEX(FILTER('Current Cycle Tracker'!$I$2:$I$200,('Current Cycle Tracker'!$B$2:$B$200="Person 1")*('Current Cycle Tracker'!$P$2:$P$200="Yes")),ROWS($A$6:A41)),"")</x:f>
      </x:c>
      <x:c r="F41" t="str">
        <x:f>IFERROR(INDEX(FILTER('Current Cycle Tracker'!$J$2:$J$200,('Current Cycle Tracker'!$B$2:$B$200="Person 1")*('Current Cycle Tracker'!$P$2:$P$200="Yes")),ROWS($A$6:A41)),"")</x:f>
      </x:c>
      <x:c r="G41" t="str">
        <x:f>IFERROR(INDEX(FILTER('Current Cycle Tracker'!$K$2:$K$200,('Current Cycle Tracker'!$B$2:$B$200="Person 1")*('Current Cycle Tracker'!$P$2:$P$200="Yes")),ROWS($A$6:A41)),"")</x:f>
      </x:c>
      <x:c r="H41" t="str">
        <x:f>IFERROR(INDEX(FILTER('Current Cycle Tracker'!$L$2:$L$200,('Current Cycle Tracker'!$B$2:$B$200="Person 1")*('Current Cycle Tracker'!$P$2:$P$200="Yes")),ROWS($A$6:A41)),"")</x:f>
      </x:c>
      <x:c r="I41" t="str">
        <x:f>IF(H41="","",IF(H41&gt;=1,"✅","☐"))</x:f>
      </x:c>
      <x:c r="J41" t="str">
        <x:f>IFERROR(INDEX(FILTER('Current Cycle Tracker'!$M$2:$M$200,('Current Cycle Tracker'!$B$2:$B$200="Person 1")*('Current Cycle Tracker'!$P$2:$P$200="Yes")),ROWS($A$6:A41)),"")</x:f>
      </x:c>
      <x:c r="K41" t="str">
        <x:f>IFERROR(INDEX(FILTER('Current Cycle Tracker'!$N$2:$N$200,('Current Cycle Tracker'!$B$2:$B$200="Person 1")*('Current Cycle Tracker'!$P$2:$P$200="Yes")),ROWS($A$6:A41)),"")</x:f>
      </x:c>
      <x:c r="L41" t="str">
        <x:f>IFERROR(INDEX(FILTER('Current Cycle Tracker'!$Q$2:$Q$200,('Current Cycle Tracker'!$B$2:$B$200="Person 1")*('Current Cycle Tracker'!$P$2:$P$200="Yes")),ROWS($A$6:A41)),"")</x:f>
      </x:c>
    </x:row>
    <x:row r="42">
      <x:c r="A42" t="str">
        <x:f>IFERROR(INDEX(FILTER('Current Cycle Tracker'!$C$2:$C$200,('Current Cycle Tracker'!$B$2:$B$200="Person 1")*('Current Cycle Tracker'!$P$2:$P$200="Yes")),ROWS($A$6:A42)),"")</x:f>
      </x:c>
      <x:c r="B42" t="str">
        <x:f>IFERROR(INDEX(FILTER('Current Cycle Tracker'!$D$2:$D$200,('Current Cycle Tracker'!$B$2:$B$200="Person 1")*('Current Cycle Tracker'!$P$2:$P$200="Yes")),ROWS($A$6:A42)),"")</x:f>
      </x:c>
      <x:c r="C42" t="str">
        <x:f>IFERROR(INDEX(FILTER('Current Cycle Tracker'!$G$2:$G$200,('Current Cycle Tracker'!$B$2:$B$200="Person 1")*('Current Cycle Tracker'!$P$2:$P$200="Yes")),ROWS($A$6:A42)),"")</x:f>
      </x:c>
      <x:c r="D42" t="str">
        <x:f>IFERROR(INDEX(FILTER('Current Cycle Tracker'!$H$2:$H$200,('Current Cycle Tracker'!$B$2:$B$200="Person 1")*('Current Cycle Tracker'!$P$2:$P$200="Yes")),ROWS($A$6:A42)),"")</x:f>
      </x:c>
      <x:c r="E42" t="str">
        <x:f>IFERROR(INDEX(FILTER('Current Cycle Tracker'!$I$2:$I$200,('Current Cycle Tracker'!$B$2:$B$200="Person 1")*('Current Cycle Tracker'!$P$2:$P$200="Yes")),ROWS($A$6:A42)),"")</x:f>
      </x:c>
      <x:c r="F42" t="str">
        <x:f>IFERROR(INDEX(FILTER('Current Cycle Tracker'!$J$2:$J$200,('Current Cycle Tracker'!$B$2:$B$200="Person 1")*('Current Cycle Tracker'!$P$2:$P$200="Yes")),ROWS($A$6:A42)),"")</x:f>
      </x:c>
      <x:c r="G42" t="str">
        <x:f>IFERROR(INDEX(FILTER('Current Cycle Tracker'!$K$2:$K$200,('Current Cycle Tracker'!$B$2:$B$200="Person 1")*('Current Cycle Tracker'!$P$2:$P$200="Yes")),ROWS($A$6:A42)),"")</x:f>
      </x:c>
      <x:c r="H42" t="str">
        <x:f>IFERROR(INDEX(FILTER('Current Cycle Tracker'!$L$2:$L$200,('Current Cycle Tracker'!$B$2:$B$200="Person 1")*('Current Cycle Tracker'!$P$2:$P$200="Yes")),ROWS($A$6:A42)),"")</x:f>
      </x:c>
      <x:c r="I42" t="str">
        <x:f>IF(H42="","",IF(H42&gt;=1,"✅","☐"))</x:f>
      </x:c>
      <x:c r="J42" t="str">
        <x:f>IFERROR(INDEX(FILTER('Current Cycle Tracker'!$M$2:$M$200,('Current Cycle Tracker'!$B$2:$B$200="Person 1")*('Current Cycle Tracker'!$P$2:$P$200="Yes")),ROWS($A$6:A42)),"")</x:f>
      </x:c>
      <x:c r="K42" t="str">
        <x:f>IFERROR(INDEX(FILTER('Current Cycle Tracker'!$N$2:$N$200,('Current Cycle Tracker'!$B$2:$B$200="Person 1")*('Current Cycle Tracker'!$P$2:$P$200="Yes")),ROWS($A$6:A42)),"")</x:f>
      </x:c>
      <x:c r="L42" t="str">
        <x:f>IFERROR(INDEX(FILTER('Current Cycle Tracker'!$Q$2:$Q$200,('Current Cycle Tracker'!$B$2:$B$200="Person 1")*('Current Cycle Tracker'!$P$2:$P$200="Yes")),ROWS($A$6:A42)),"")</x:f>
      </x:c>
    </x:row>
    <x:row r="43">
      <x:c r="A43" t="str">
        <x:f>IFERROR(INDEX(FILTER('Current Cycle Tracker'!$C$2:$C$200,('Current Cycle Tracker'!$B$2:$B$200="Person 1")*('Current Cycle Tracker'!$P$2:$P$200="Yes")),ROWS($A$6:A43)),"")</x:f>
      </x:c>
      <x:c r="B43" t="str">
        <x:f>IFERROR(INDEX(FILTER('Current Cycle Tracker'!$D$2:$D$200,('Current Cycle Tracker'!$B$2:$B$200="Person 1")*('Current Cycle Tracker'!$P$2:$P$200="Yes")),ROWS($A$6:A43)),"")</x:f>
      </x:c>
      <x:c r="C43" t="str">
        <x:f>IFERROR(INDEX(FILTER('Current Cycle Tracker'!$G$2:$G$200,('Current Cycle Tracker'!$B$2:$B$200="Person 1")*('Current Cycle Tracker'!$P$2:$P$200="Yes")),ROWS($A$6:A43)),"")</x:f>
      </x:c>
      <x:c r="D43" t="str">
        <x:f>IFERROR(INDEX(FILTER('Current Cycle Tracker'!$H$2:$H$200,('Current Cycle Tracker'!$B$2:$B$200="Person 1")*('Current Cycle Tracker'!$P$2:$P$200="Yes")),ROWS($A$6:A43)),"")</x:f>
      </x:c>
      <x:c r="E43" t="str">
        <x:f>IFERROR(INDEX(FILTER('Current Cycle Tracker'!$I$2:$I$200,('Current Cycle Tracker'!$B$2:$B$200="Person 1")*('Current Cycle Tracker'!$P$2:$P$200="Yes")),ROWS($A$6:A43)),"")</x:f>
      </x:c>
      <x:c r="F43" t="str">
        <x:f>IFERROR(INDEX(FILTER('Current Cycle Tracker'!$J$2:$J$200,('Current Cycle Tracker'!$B$2:$B$200="Person 1")*('Current Cycle Tracker'!$P$2:$P$200="Yes")),ROWS($A$6:A43)),"")</x:f>
      </x:c>
      <x:c r="G43" t="str">
        <x:f>IFERROR(INDEX(FILTER('Current Cycle Tracker'!$K$2:$K$200,('Current Cycle Tracker'!$B$2:$B$200="Person 1")*('Current Cycle Tracker'!$P$2:$P$200="Yes")),ROWS($A$6:A43)),"")</x:f>
      </x:c>
      <x:c r="H43" t="str">
        <x:f>IFERROR(INDEX(FILTER('Current Cycle Tracker'!$L$2:$L$200,('Current Cycle Tracker'!$B$2:$B$200="Person 1")*('Current Cycle Tracker'!$P$2:$P$200="Yes")),ROWS($A$6:A43)),"")</x:f>
      </x:c>
      <x:c r="I43" t="str">
        <x:f>IF(H43="","",IF(H43&gt;=1,"✅","☐"))</x:f>
      </x:c>
      <x:c r="J43" t="str">
        <x:f>IFERROR(INDEX(FILTER('Current Cycle Tracker'!$M$2:$M$200,('Current Cycle Tracker'!$B$2:$B$200="Person 1")*('Current Cycle Tracker'!$P$2:$P$200="Yes")),ROWS($A$6:A43)),"")</x:f>
      </x:c>
      <x:c r="K43" t="str">
        <x:f>IFERROR(INDEX(FILTER('Current Cycle Tracker'!$N$2:$N$200,('Current Cycle Tracker'!$B$2:$B$200="Person 1")*('Current Cycle Tracker'!$P$2:$P$200="Yes")),ROWS($A$6:A43)),"")</x:f>
      </x:c>
      <x:c r="L43" t="str">
        <x:f>IFERROR(INDEX(FILTER('Current Cycle Tracker'!$Q$2:$Q$200,('Current Cycle Tracker'!$B$2:$B$200="Person 1")*('Current Cycle Tracker'!$P$2:$P$200="Yes")),ROWS($A$6:A43)),"")</x:f>
      </x:c>
    </x:row>
    <x:row r="44">
      <x:c r="A44" t="str">
        <x:f>IFERROR(INDEX(FILTER('Current Cycle Tracker'!$C$2:$C$200,('Current Cycle Tracker'!$B$2:$B$200="Person 1")*('Current Cycle Tracker'!$P$2:$P$200="Yes")),ROWS($A$6:A44)),"")</x:f>
      </x:c>
      <x:c r="B44" t="str">
        <x:f>IFERROR(INDEX(FILTER('Current Cycle Tracker'!$D$2:$D$200,('Current Cycle Tracker'!$B$2:$B$200="Person 1")*('Current Cycle Tracker'!$P$2:$P$200="Yes")),ROWS($A$6:A44)),"")</x:f>
      </x:c>
      <x:c r="C44" t="str">
        <x:f>IFERROR(INDEX(FILTER('Current Cycle Tracker'!$G$2:$G$200,('Current Cycle Tracker'!$B$2:$B$200="Person 1")*('Current Cycle Tracker'!$P$2:$P$200="Yes")),ROWS($A$6:A44)),"")</x:f>
      </x:c>
      <x:c r="D44" t="str">
        <x:f>IFERROR(INDEX(FILTER('Current Cycle Tracker'!$H$2:$H$200,('Current Cycle Tracker'!$B$2:$B$200="Person 1")*('Current Cycle Tracker'!$P$2:$P$200="Yes")),ROWS($A$6:A44)),"")</x:f>
      </x:c>
      <x:c r="E44" t="str">
        <x:f>IFERROR(INDEX(FILTER('Current Cycle Tracker'!$I$2:$I$200,('Current Cycle Tracker'!$B$2:$B$200="Person 1")*('Current Cycle Tracker'!$P$2:$P$200="Yes")),ROWS($A$6:A44)),"")</x:f>
      </x:c>
      <x:c r="F44" t="str">
        <x:f>IFERROR(INDEX(FILTER('Current Cycle Tracker'!$J$2:$J$200,('Current Cycle Tracker'!$B$2:$B$200="Person 1")*('Current Cycle Tracker'!$P$2:$P$200="Yes")),ROWS($A$6:A44)),"")</x:f>
      </x:c>
      <x:c r="G44" t="str">
        <x:f>IFERROR(INDEX(FILTER('Current Cycle Tracker'!$K$2:$K$200,('Current Cycle Tracker'!$B$2:$B$200="Person 1")*('Current Cycle Tracker'!$P$2:$P$200="Yes")),ROWS($A$6:A44)),"")</x:f>
      </x:c>
      <x:c r="H44" t="str">
        <x:f>IFERROR(INDEX(FILTER('Current Cycle Tracker'!$L$2:$L$200,('Current Cycle Tracker'!$B$2:$B$200="Person 1")*('Current Cycle Tracker'!$P$2:$P$200="Yes")),ROWS($A$6:A44)),"")</x:f>
      </x:c>
      <x:c r="I44" t="str">
        <x:f>IF(H44="","",IF(H44&gt;=1,"✅","☐"))</x:f>
      </x:c>
      <x:c r="J44" t="str">
        <x:f>IFERROR(INDEX(FILTER('Current Cycle Tracker'!$M$2:$M$200,('Current Cycle Tracker'!$B$2:$B$200="Person 1")*('Current Cycle Tracker'!$P$2:$P$200="Yes")),ROWS($A$6:A44)),"")</x:f>
      </x:c>
      <x:c r="K44" t="str">
        <x:f>IFERROR(INDEX(FILTER('Current Cycle Tracker'!$N$2:$N$200,('Current Cycle Tracker'!$B$2:$B$200="Person 1")*('Current Cycle Tracker'!$P$2:$P$200="Yes")),ROWS($A$6:A44)),"")</x:f>
      </x:c>
      <x:c r="L44" t="str">
        <x:f>IFERROR(INDEX(FILTER('Current Cycle Tracker'!$Q$2:$Q$200,('Current Cycle Tracker'!$B$2:$B$200="Person 1")*('Current Cycle Tracker'!$P$2:$P$200="Yes")),ROWS($A$6:A44)),"")</x:f>
      </x:c>
    </x:row>
    <x:row r="45">
      <x:c r="A45" t="str">
        <x:f>IFERROR(INDEX(FILTER('Current Cycle Tracker'!$C$2:$C$200,('Current Cycle Tracker'!$B$2:$B$200="Person 1")*('Current Cycle Tracker'!$P$2:$P$200="Yes")),ROWS($A$6:A45)),"")</x:f>
      </x:c>
      <x:c r="B45" t="str">
        <x:f>IFERROR(INDEX(FILTER('Current Cycle Tracker'!$D$2:$D$200,('Current Cycle Tracker'!$B$2:$B$200="Person 1")*('Current Cycle Tracker'!$P$2:$P$200="Yes")),ROWS($A$6:A45)),"")</x:f>
      </x:c>
      <x:c r="C45" t="str">
        <x:f>IFERROR(INDEX(FILTER('Current Cycle Tracker'!$G$2:$G$200,('Current Cycle Tracker'!$B$2:$B$200="Person 1")*('Current Cycle Tracker'!$P$2:$P$200="Yes")),ROWS($A$6:A45)),"")</x:f>
      </x:c>
      <x:c r="D45" t="str">
        <x:f>IFERROR(INDEX(FILTER('Current Cycle Tracker'!$H$2:$H$200,('Current Cycle Tracker'!$B$2:$B$200="Person 1")*('Current Cycle Tracker'!$P$2:$P$200="Yes")),ROWS($A$6:A45)),"")</x:f>
      </x:c>
      <x:c r="E45" t="str">
        <x:f>IFERROR(INDEX(FILTER('Current Cycle Tracker'!$I$2:$I$200,('Current Cycle Tracker'!$B$2:$B$200="Person 1")*('Current Cycle Tracker'!$P$2:$P$200="Yes")),ROWS($A$6:A45)),"")</x:f>
      </x:c>
      <x:c r="F45" t="str">
        <x:f>IFERROR(INDEX(FILTER('Current Cycle Tracker'!$J$2:$J$200,('Current Cycle Tracker'!$B$2:$B$200="Person 1")*('Current Cycle Tracker'!$P$2:$P$200="Yes")),ROWS($A$6:A45)),"")</x:f>
      </x:c>
      <x:c r="G45" t="str">
        <x:f>IFERROR(INDEX(FILTER('Current Cycle Tracker'!$K$2:$K$200,('Current Cycle Tracker'!$B$2:$B$200="Person 1")*('Current Cycle Tracker'!$P$2:$P$200="Yes")),ROWS($A$6:A45)),"")</x:f>
      </x:c>
      <x:c r="H45" t="str">
        <x:f>IFERROR(INDEX(FILTER('Current Cycle Tracker'!$L$2:$L$200,('Current Cycle Tracker'!$B$2:$B$200="Person 1")*('Current Cycle Tracker'!$P$2:$P$200="Yes")),ROWS($A$6:A45)),"")</x:f>
      </x:c>
      <x:c r="I45" t="str">
        <x:f>IF(H45="","",IF(H45&gt;=1,"✅","☐"))</x:f>
      </x:c>
      <x:c r="J45" t="str">
        <x:f>IFERROR(INDEX(FILTER('Current Cycle Tracker'!$M$2:$M$200,('Current Cycle Tracker'!$B$2:$B$200="Person 1")*('Current Cycle Tracker'!$P$2:$P$200="Yes")),ROWS($A$6:A45)),"")</x:f>
      </x:c>
      <x:c r="K45" t="str">
        <x:f>IFERROR(INDEX(FILTER('Current Cycle Tracker'!$N$2:$N$200,('Current Cycle Tracker'!$B$2:$B$200="Person 1")*('Current Cycle Tracker'!$P$2:$P$200="Yes")),ROWS($A$6:A45)),"")</x:f>
      </x:c>
      <x:c r="L45" t="str">
        <x:f>IFERROR(INDEX(FILTER('Current Cycle Tracker'!$Q$2:$Q$200,('Current Cycle Tracker'!$B$2:$B$200="Person 1")*('Current Cycle Tracker'!$P$2:$P$200="Yes")),ROWS($A$6:A45)),"")</x:f>
      </x:c>
    </x:row>
    <x:row r="46">
      <x:c r="A46" t="str">
        <x:f>IFERROR(INDEX(FILTER('Current Cycle Tracker'!$C$2:$C$200,('Current Cycle Tracker'!$B$2:$B$200="Person 1")*('Current Cycle Tracker'!$P$2:$P$200="Yes")),ROWS($A$6:A46)),"")</x:f>
      </x:c>
      <x:c r="B46" t="str">
        <x:f>IFERROR(INDEX(FILTER('Current Cycle Tracker'!$D$2:$D$200,('Current Cycle Tracker'!$B$2:$B$200="Person 1")*('Current Cycle Tracker'!$P$2:$P$200="Yes")),ROWS($A$6:A46)),"")</x:f>
      </x:c>
      <x:c r="C46" t="str">
        <x:f>IFERROR(INDEX(FILTER('Current Cycle Tracker'!$G$2:$G$200,('Current Cycle Tracker'!$B$2:$B$200="Person 1")*('Current Cycle Tracker'!$P$2:$P$200="Yes")),ROWS($A$6:A46)),"")</x:f>
      </x:c>
      <x:c r="D46" t="str">
        <x:f>IFERROR(INDEX(FILTER('Current Cycle Tracker'!$H$2:$H$200,('Current Cycle Tracker'!$B$2:$B$200="Person 1")*('Current Cycle Tracker'!$P$2:$P$200="Yes")),ROWS($A$6:A46)),"")</x:f>
      </x:c>
      <x:c r="E46" t="str">
        <x:f>IFERROR(INDEX(FILTER('Current Cycle Tracker'!$I$2:$I$200,('Current Cycle Tracker'!$B$2:$B$200="Person 1")*('Current Cycle Tracker'!$P$2:$P$200="Yes")),ROWS($A$6:A46)),"")</x:f>
      </x:c>
      <x:c r="F46" t="str">
        <x:f>IFERROR(INDEX(FILTER('Current Cycle Tracker'!$J$2:$J$200,('Current Cycle Tracker'!$B$2:$B$200="Person 1")*('Current Cycle Tracker'!$P$2:$P$200="Yes")),ROWS($A$6:A46)),"")</x:f>
      </x:c>
      <x:c r="G46" t="str">
        <x:f>IFERROR(INDEX(FILTER('Current Cycle Tracker'!$K$2:$K$200,('Current Cycle Tracker'!$B$2:$B$200="Person 1")*('Current Cycle Tracker'!$P$2:$P$200="Yes")),ROWS($A$6:A46)),"")</x:f>
      </x:c>
      <x:c r="H46" t="str">
        <x:f>IFERROR(INDEX(FILTER('Current Cycle Tracker'!$L$2:$L$200,('Current Cycle Tracker'!$B$2:$B$200="Person 1")*('Current Cycle Tracker'!$P$2:$P$200="Yes")),ROWS($A$6:A46)),"")</x:f>
      </x:c>
      <x:c r="I46" t="str">
        <x:f>IF(H46="","",IF(H46&gt;=1,"✅","☐"))</x:f>
      </x:c>
      <x:c r="J46" t="str">
        <x:f>IFERROR(INDEX(FILTER('Current Cycle Tracker'!$M$2:$M$200,('Current Cycle Tracker'!$B$2:$B$200="Person 1")*('Current Cycle Tracker'!$P$2:$P$200="Yes")),ROWS($A$6:A46)),"")</x:f>
      </x:c>
      <x:c r="K46" t="str">
        <x:f>IFERROR(INDEX(FILTER('Current Cycle Tracker'!$N$2:$N$200,('Current Cycle Tracker'!$B$2:$B$200="Person 1")*('Current Cycle Tracker'!$P$2:$P$200="Yes")),ROWS($A$6:A46)),"")</x:f>
      </x:c>
      <x:c r="L46" t="str">
        <x:f>IFERROR(INDEX(FILTER('Current Cycle Tracker'!$Q$2:$Q$200,('Current Cycle Tracker'!$B$2:$B$200="Person 1")*('Current Cycle Tracker'!$P$2:$P$200="Yes")),ROWS($A$6:A46)),"")</x:f>
      </x:c>
    </x:row>
    <x:row r="47">
      <x:c r="A47" t="str">
        <x:f>IFERROR(INDEX(FILTER('Current Cycle Tracker'!$C$2:$C$200,('Current Cycle Tracker'!$B$2:$B$200="Person 1")*('Current Cycle Tracker'!$P$2:$P$200="Yes")),ROWS($A$6:A47)),"")</x:f>
      </x:c>
      <x:c r="B47" t="str">
        <x:f>IFERROR(INDEX(FILTER('Current Cycle Tracker'!$D$2:$D$200,('Current Cycle Tracker'!$B$2:$B$200="Person 1")*('Current Cycle Tracker'!$P$2:$P$200="Yes")),ROWS($A$6:A47)),"")</x:f>
      </x:c>
      <x:c r="C47" t="str">
        <x:f>IFERROR(INDEX(FILTER('Current Cycle Tracker'!$G$2:$G$200,('Current Cycle Tracker'!$B$2:$B$200="Person 1")*('Current Cycle Tracker'!$P$2:$P$200="Yes")),ROWS($A$6:A47)),"")</x:f>
      </x:c>
      <x:c r="D47" t="str">
        <x:f>IFERROR(INDEX(FILTER('Current Cycle Tracker'!$H$2:$H$200,('Current Cycle Tracker'!$B$2:$B$200="Person 1")*('Current Cycle Tracker'!$P$2:$P$200="Yes")),ROWS($A$6:A47)),"")</x:f>
      </x:c>
      <x:c r="E47" t="str">
        <x:f>IFERROR(INDEX(FILTER('Current Cycle Tracker'!$I$2:$I$200,('Current Cycle Tracker'!$B$2:$B$200="Person 1")*('Current Cycle Tracker'!$P$2:$P$200="Yes")),ROWS($A$6:A47)),"")</x:f>
      </x:c>
      <x:c r="F47" t="str">
        <x:f>IFERROR(INDEX(FILTER('Current Cycle Tracker'!$J$2:$J$200,('Current Cycle Tracker'!$B$2:$B$200="Person 1")*('Current Cycle Tracker'!$P$2:$P$200="Yes")),ROWS($A$6:A47)),"")</x:f>
      </x:c>
      <x:c r="G47" t="str">
        <x:f>IFERROR(INDEX(FILTER('Current Cycle Tracker'!$K$2:$K$200,('Current Cycle Tracker'!$B$2:$B$200="Person 1")*('Current Cycle Tracker'!$P$2:$P$200="Yes")),ROWS($A$6:A47)),"")</x:f>
      </x:c>
      <x:c r="H47" t="str">
        <x:f>IFERROR(INDEX(FILTER('Current Cycle Tracker'!$L$2:$L$200,('Current Cycle Tracker'!$B$2:$B$200="Person 1")*('Current Cycle Tracker'!$P$2:$P$200="Yes")),ROWS($A$6:A47)),"")</x:f>
      </x:c>
      <x:c r="I47" t="str">
        <x:f>IF(H47="","",IF(H47&gt;=1,"✅","☐"))</x:f>
      </x:c>
      <x:c r="J47" t="str">
        <x:f>IFERROR(INDEX(FILTER('Current Cycle Tracker'!$M$2:$M$200,('Current Cycle Tracker'!$B$2:$B$200="Person 1")*('Current Cycle Tracker'!$P$2:$P$200="Yes")),ROWS($A$6:A47)),"")</x:f>
      </x:c>
      <x:c r="K47" t="str">
        <x:f>IFERROR(INDEX(FILTER('Current Cycle Tracker'!$N$2:$N$200,('Current Cycle Tracker'!$B$2:$B$200="Person 1")*('Current Cycle Tracker'!$P$2:$P$200="Yes")),ROWS($A$6:A47)),"")</x:f>
      </x:c>
      <x:c r="L47" t="str">
        <x:f>IFERROR(INDEX(FILTER('Current Cycle Tracker'!$Q$2:$Q$200,('Current Cycle Tracker'!$B$2:$B$200="Person 1")*('Current Cycle Tracker'!$P$2:$P$200="Yes")),ROWS($A$6:A47)),"")</x:f>
      </x:c>
    </x:row>
    <x:row r="48">
      <x:c r="A48" t="str">
        <x:f>IFERROR(INDEX(FILTER('Current Cycle Tracker'!$C$2:$C$200,('Current Cycle Tracker'!$B$2:$B$200="Person 1")*('Current Cycle Tracker'!$P$2:$P$200="Yes")),ROWS($A$6:A48)),"")</x:f>
      </x:c>
      <x:c r="B48" t="str">
        <x:f>IFERROR(INDEX(FILTER('Current Cycle Tracker'!$D$2:$D$200,('Current Cycle Tracker'!$B$2:$B$200="Person 1")*('Current Cycle Tracker'!$P$2:$P$200="Yes")),ROWS($A$6:A48)),"")</x:f>
      </x:c>
      <x:c r="C48" t="str">
        <x:f>IFERROR(INDEX(FILTER('Current Cycle Tracker'!$G$2:$G$200,('Current Cycle Tracker'!$B$2:$B$200="Person 1")*('Current Cycle Tracker'!$P$2:$P$200="Yes")),ROWS($A$6:A48)),"")</x:f>
      </x:c>
      <x:c r="D48" t="str">
        <x:f>IFERROR(INDEX(FILTER('Current Cycle Tracker'!$H$2:$H$200,('Current Cycle Tracker'!$B$2:$B$200="Person 1")*('Current Cycle Tracker'!$P$2:$P$200="Yes")),ROWS($A$6:A48)),"")</x:f>
      </x:c>
      <x:c r="E48" t="str">
        <x:f>IFERROR(INDEX(FILTER('Current Cycle Tracker'!$I$2:$I$200,('Current Cycle Tracker'!$B$2:$B$200="Person 1")*('Current Cycle Tracker'!$P$2:$P$200="Yes")),ROWS($A$6:A48)),"")</x:f>
      </x:c>
      <x:c r="F48" t="str">
        <x:f>IFERROR(INDEX(FILTER('Current Cycle Tracker'!$J$2:$J$200,('Current Cycle Tracker'!$B$2:$B$200="Person 1")*('Current Cycle Tracker'!$P$2:$P$200="Yes")),ROWS($A$6:A48)),"")</x:f>
      </x:c>
      <x:c r="G48" t="str">
        <x:f>IFERROR(INDEX(FILTER('Current Cycle Tracker'!$K$2:$K$200,('Current Cycle Tracker'!$B$2:$B$200="Person 1")*('Current Cycle Tracker'!$P$2:$P$200="Yes")),ROWS($A$6:A48)),"")</x:f>
      </x:c>
      <x:c r="H48" t="str">
        <x:f>IFERROR(INDEX(FILTER('Current Cycle Tracker'!$L$2:$L$200,('Current Cycle Tracker'!$B$2:$B$200="Person 1")*('Current Cycle Tracker'!$P$2:$P$200="Yes")),ROWS($A$6:A48)),"")</x:f>
      </x:c>
      <x:c r="I48" t="str">
        <x:f>IF(H48="","",IF(H48&gt;=1,"✅","☐"))</x:f>
      </x:c>
      <x:c r="J48" t="str">
        <x:f>IFERROR(INDEX(FILTER('Current Cycle Tracker'!$M$2:$M$200,('Current Cycle Tracker'!$B$2:$B$200="Person 1")*('Current Cycle Tracker'!$P$2:$P$200="Yes")),ROWS($A$6:A48)),"")</x:f>
      </x:c>
      <x:c r="K48" t="str">
        <x:f>IFERROR(INDEX(FILTER('Current Cycle Tracker'!$N$2:$N$200,('Current Cycle Tracker'!$B$2:$B$200="Person 1")*('Current Cycle Tracker'!$P$2:$P$200="Yes")),ROWS($A$6:A48)),"")</x:f>
      </x:c>
      <x:c r="L48" t="str">
        <x:f>IFERROR(INDEX(FILTER('Current Cycle Tracker'!$Q$2:$Q$200,('Current Cycle Tracker'!$B$2:$B$200="Person 1")*('Current Cycle Tracker'!$P$2:$P$200="Yes")),ROWS($A$6:A48)),"")</x:f>
      </x:c>
    </x:row>
    <x:row r="49">
      <x:c r="A49" t="str">
        <x:f>IFERROR(INDEX(FILTER('Current Cycle Tracker'!$C$2:$C$200,('Current Cycle Tracker'!$B$2:$B$200="Person 1")*('Current Cycle Tracker'!$P$2:$P$200="Yes")),ROWS($A$6:A49)),"")</x:f>
      </x:c>
      <x:c r="B49" t="str">
        <x:f>IFERROR(INDEX(FILTER('Current Cycle Tracker'!$D$2:$D$200,('Current Cycle Tracker'!$B$2:$B$200="Person 1")*('Current Cycle Tracker'!$P$2:$P$200="Yes")),ROWS($A$6:A49)),"")</x:f>
      </x:c>
      <x:c r="C49" t="str">
        <x:f>IFERROR(INDEX(FILTER('Current Cycle Tracker'!$G$2:$G$200,('Current Cycle Tracker'!$B$2:$B$200="Person 1")*('Current Cycle Tracker'!$P$2:$P$200="Yes")),ROWS($A$6:A49)),"")</x:f>
      </x:c>
      <x:c r="D49" t="str">
        <x:f>IFERROR(INDEX(FILTER('Current Cycle Tracker'!$H$2:$H$200,('Current Cycle Tracker'!$B$2:$B$200="Person 1")*('Current Cycle Tracker'!$P$2:$P$200="Yes")),ROWS($A$6:A49)),"")</x:f>
      </x:c>
      <x:c r="E49" t="str">
        <x:f>IFERROR(INDEX(FILTER('Current Cycle Tracker'!$I$2:$I$200,('Current Cycle Tracker'!$B$2:$B$200="Person 1")*('Current Cycle Tracker'!$P$2:$P$200="Yes")),ROWS($A$6:A49)),"")</x:f>
      </x:c>
      <x:c r="F49" t="str">
        <x:f>IFERROR(INDEX(FILTER('Current Cycle Tracker'!$J$2:$J$200,('Current Cycle Tracker'!$B$2:$B$200="Person 1")*('Current Cycle Tracker'!$P$2:$P$200="Yes")),ROWS($A$6:A49)),"")</x:f>
      </x:c>
      <x:c r="G49" t="str">
        <x:f>IFERROR(INDEX(FILTER('Current Cycle Tracker'!$K$2:$K$200,('Current Cycle Tracker'!$B$2:$B$200="Person 1")*('Current Cycle Tracker'!$P$2:$P$200="Yes")),ROWS($A$6:A49)),"")</x:f>
      </x:c>
      <x:c r="H49" t="str">
        <x:f>IFERROR(INDEX(FILTER('Current Cycle Tracker'!$L$2:$L$200,('Current Cycle Tracker'!$B$2:$B$200="Person 1")*('Current Cycle Tracker'!$P$2:$P$200="Yes")),ROWS($A$6:A49)),"")</x:f>
      </x:c>
      <x:c r="I49" t="str">
        <x:f>IF(H49="","",IF(H49&gt;=1,"✅","☐"))</x:f>
      </x:c>
      <x:c r="J49" t="str">
        <x:f>IFERROR(INDEX(FILTER('Current Cycle Tracker'!$M$2:$M$200,('Current Cycle Tracker'!$B$2:$B$200="Person 1")*('Current Cycle Tracker'!$P$2:$P$200="Yes")),ROWS($A$6:A49)),"")</x:f>
      </x:c>
      <x:c r="K49" t="str">
        <x:f>IFERROR(INDEX(FILTER('Current Cycle Tracker'!$N$2:$N$200,('Current Cycle Tracker'!$B$2:$B$200="Person 1")*('Current Cycle Tracker'!$P$2:$P$200="Yes")),ROWS($A$6:A49)),"")</x:f>
      </x:c>
      <x:c r="L49" t="str">
        <x:f>IFERROR(INDEX(FILTER('Current Cycle Tracker'!$Q$2:$Q$200,('Current Cycle Tracker'!$B$2:$B$200="Person 1")*('Current Cycle Tracker'!$P$2:$P$200="Yes")),ROWS($A$6:A49)),"")</x:f>
      </x:c>
    </x:row>
    <x:row r="50">
      <x:c r="A50" t="str">
        <x:f>IFERROR(INDEX(FILTER('Current Cycle Tracker'!$C$2:$C$200,('Current Cycle Tracker'!$B$2:$B$200="Person 1")*('Current Cycle Tracker'!$P$2:$P$200="Yes")),ROWS($A$6:A50)),"")</x:f>
      </x:c>
      <x:c r="B50" t="str">
        <x:f>IFERROR(INDEX(FILTER('Current Cycle Tracker'!$D$2:$D$200,('Current Cycle Tracker'!$B$2:$B$200="Person 1")*('Current Cycle Tracker'!$P$2:$P$200="Yes")),ROWS($A$6:A50)),"")</x:f>
      </x:c>
      <x:c r="C50" t="str">
        <x:f>IFERROR(INDEX(FILTER('Current Cycle Tracker'!$G$2:$G$200,('Current Cycle Tracker'!$B$2:$B$200="Person 1")*('Current Cycle Tracker'!$P$2:$P$200="Yes")),ROWS($A$6:A50)),"")</x:f>
      </x:c>
      <x:c r="D50" t="str">
        <x:f>IFERROR(INDEX(FILTER('Current Cycle Tracker'!$H$2:$H$200,('Current Cycle Tracker'!$B$2:$B$200="Person 1")*('Current Cycle Tracker'!$P$2:$P$200="Yes")),ROWS($A$6:A50)),"")</x:f>
      </x:c>
      <x:c r="E50" t="str">
        <x:f>IFERROR(INDEX(FILTER('Current Cycle Tracker'!$I$2:$I$200,('Current Cycle Tracker'!$B$2:$B$200="Person 1")*('Current Cycle Tracker'!$P$2:$P$200="Yes")),ROWS($A$6:A50)),"")</x:f>
      </x:c>
      <x:c r="F50" t="str">
        <x:f>IFERROR(INDEX(FILTER('Current Cycle Tracker'!$J$2:$J$200,('Current Cycle Tracker'!$B$2:$B$200="Person 1")*('Current Cycle Tracker'!$P$2:$P$200="Yes")),ROWS($A$6:A50)),"")</x:f>
      </x:c>
      <x:c r="G50" t="str">
        <x:f>IFERROR(INDEX(FILTER('Current Cycle Tracker'!$K$2:$K$200,('Current Cycle Tracker'!$B$2:$B$200="Person 1")*('Current Cycle Tracker'!$P$2:$P$200="Yes")),ROWS($A$6:A50)),"")</x:f>
      </x:c>
      <x:c r="H50" t="str">
        <x:f>IFERROR(INDEX(FILTER('Current Cycle Tracker'!$L$2:$L$200,('Current Cycle Tracker'!$B$2:$B$200="Person 1")*('Current Cycle Tracker'!$P$2:$P$200="Yes")),ROWS($A$6:A50)),"")</x:f>
      </x:c>
      <x:c r="I50" t="str">
        <x:f>IF(H50="","",IF(H50&gt;=1,"✅","☐"))</x:f>
      </x:c>
      <x:c r="J50" t="str">
        <x:f>IFERROR(INDEX(FILTER('Current Cycle Tracker'!$M$2:$M$200,('Current Cycle Tracker'!$B$2:$B$200="Person 1")*('Current Cycle Tracker'!$P$2:$P$200="Yes")),ROWS($A$6:A50)),"")</x:f>
      </x:c>
      <x:c r="K50" t="str">
        <x:f>IFERROR(INDEX(FILTER('Current Cycle Tracker'!$N$2:$N$200,('Current Cycle Tracker'!$B$2:$B$200="Person 1")*('Current Cycle Tracker'!$P$2:$P$200="Yes")),ROWS($A$6:A50)),"")</x:f>
      </x:c>
      <x:c r="L50" t="str">
        <x:f>IFERROR(INDEX(FILTER('Current Cycle Tracker'!$Q$2:$Q$200,('Current Cycle Tracker'!$B$2:$B$200="Person 1")*('Current Cycle Tracker'!$P$2:$P$200="Yes")),ROWS($A$6:A50)),"")</x:f>
      </x:c>
    </x:row>
    <x:row r="51">
      <x:c r="A51" t="str">
        <x:f>IFERROR(INDEX(FILTER('Current Cycle Tracker'!$C$2:$C$200,('Current Cycle Tracker'!$B$2:$B$200="Person 1")*('Current Cycle Tracker'!$P$2:$P$200="Yes")),ROWS($A$6:A51)),"")</x:f>
      </x:c>
      <x:c r="B51" t="str">
        <x:f>IFERROR(INDEX(FILTER('Current Cycle Tracker'!$D$2:$D$200,('Current Cycle Tracker'!$B$2:$B$200="Person 1")*('Current Cycle Tracker'!$P$2:$P$200="Yes")),ROWS($A$6:A51)),"")</x:f>
      </x:c>
      <x:c r="C51" t="str">
        <x:f>IFERROR(INDEX(FILTER('Current Cycle Tracker'!$G$2:$G$200,('Current Cycle Tracker'!$B$2:$B$200="Person 1")*('Current Cycle Tracker'!$P$2:$P$200="Yes")),ROWS($A$6:A51)),"")</x:f>
      </x:c>
      <x:c r="D51" t="str">
        <x:f>IFERROR(INDEX(FILTER('Current Cycle Tracker'!$H$2:$H$200,('Current Cycle Tracker'!$B$2:$B$200="Person 1")*('Current Cycle Tracker'!$P$2:$P$200="Yes")),ROWS($A$6:A51)),"")</x:f>
      </x:c>
      <x:c r="E51" t="str">
        <x:f>IFERROR(INDEX(FILTER('Current Cycle Tracker'!$I$2:$I$200,('Current Cycle Tracker'!$B$2:$B$200="Person 1")*('Current Cycle Tracker'!$P$2:$P$200="Yes")),ROWS($A$6:A51)),"")</x:f>
      </x:c>
      <x:c r="F51" t="str">
        <x:f>IFERROR(INDEX(FILTER('Current Cycle Tracker'!$J$2:$J$200,('Current Cycle Tracker'!$B$2:$B$200="Person 1")*('Current Cycle Tracker'!$P$2:$P$200="Yes")),ROWS($A$6:A51)),"")</x:f>
      </x:c>
      <x:c r="G51" t="str">
        <x:f>IFERROR(INDEX(FILTER('Current Cycle Tracker'!$K$2:$K$200,('Current Cycle Tracker'!$B$2:$B$200="Person 1")*('Current Cycle Tracker'!$P$2:$P$200="Yes")),ROWS($A$6:A51)),"")</x:f>
      </x:c>
      <x:c r="H51" t="str">
        <x:f>IFERROR(INDEX(FILTER('Current Cycle Tracker'!$L$2:$L$200,('Current Cycle Tracker'!$B$2:$B$200="Person 1")*('Current Cycle Tracker'!$P$2:$P$200="Yes")),ROWS($A$6:A51)),"")</x:f>
      </x:c>
      <x:c r="I51" t="str">
        <x:f>IF(H51="","",IF(H51&gt;=1,"✅","☐"))</x:f>
      </x:c>
      <x:c r="J51" t="str">
        <x:f>IFERROR(INDEX(FILTER('Current Cycle Tracker'!$M$2:$M$200,('Current Cycle Tracker'!$B$2:$B$200="Person 1")*('Current Cycle Tracker'!$P$2:$P$200="Yes")),ROWS($A$6:A51)),"")</x:f>
      </x:c>
      <x:c r="K51" t="str">
        <x:f>IFERROR(INDEX(FILTER('Current Cycle Tracker'!$N$2:$N$200,('Current Cycle Tracker'!$B$2:$B$200="Person 1")*('Current Cycle Tracker'!$P$2:$P$200="Yes")),ROWS($A$6:A51)),"")</x:f>
      </x:c>
      <x:c r="L51" t="str">
        <x:f>IFERROR(INDEX(FILTER('Current Cycle Tracker'!$Q$2:$Q$200,('Current Cycle Tracker'!$B$2:$B$200="Person 1")*('Current Cycle Tracker'!$P$2:$P$200="Yes")),ROWS($A$6:A51)),"")</x:f>
      </x:c>
    </x:row>
    <x:row r="52">
      <x:c r="A52" t="str">
        <x:f>IFERROR(INDEX(FILTER('Current Cycle Tracker'!$C$2:$C$200,('Current Cycle Tracker'!$B$2:$B$200="Person 1")*('Current Cycle Tracker'!$P$2:$P$200="Yes")),ROWS($A$6:A52)),"")</x:f>
      </x:c>
      <x:c r="B52" t="str">
        <x:f>IFERROR(INDEX(FILTER('Current Cycle Tracker'!$D$2:$D$200,('Current Cycle Tracker'!$B$2:$B$200="Person 1")*('Current Cycle Tracker'!$P$2:$P$200="Yes")),ROWS($A$6:A52)),"")</x:f>
      </x:c>
      <x:c r="C52" t="str">
        <x:f>IFERROR(INDEX(FILTER('Current Cycle Tracker'!$G$2:$G$200,('Current Cycle Tracker'!$B$2:$B$200="Person 1")*('Current Cycle Tracker'!$P$2:$P$200="Yes")),ROWS($A$6:A52)),"")</x:f>
      </x:c>
      <x:c r="D52" t="str">
        <x:f>IFERROR(INDEX(FILTER('Current Cycle Tracker'!$H$2:$H$200,('Current Cycle Tracker'!$B$2:$B$200="Person 1")*('Current Cycle Tracker'!$P$2:$P$200="Yes")),ROWS($A$6:A52)),"")</x:f>
      </x:c>
      <x:c r="E52" t="str">
        <x:f>IFERROR(INDEX(FILTER('Current Cycle Tracker'!$I$2:$I$200,('Current Cycle Tracker'!$B$2:$B$200="Person 1")*('Current Cycle Tracker'!$P$2:$P$200="Yes")),ROWS($A$6:A52)),"")</x:f>
      </x:c>
      <x:c r="F52" t="str">
        <x:f>IFERROR(INDEX(FILTER('Current Cycle Tracker'!$J$2:$J$200,('Current Cycle Tracker'!$B$2:$B$200="Person 1")*('Current Cycle Tracker'!$P$2:$P$200="Yes")),ROWS($A$6:A52)),"")</x:f>
      </x:c>
      <x:c r="G52" t="str">
        <x:f>IFERROR(INDEX(FILTER('Current Cycle Tracker'!$K$2:$K$200,('Current Cycle Tracker'!$B$2:$B$200="Person 1")*('Current Cycle Tracker'!$P$2:$P$200="Yes")),ROWS($A$6:A52)),"")</x:f>
      </x:c>
      <x:c r="H52" t="str">
        <x:f>IFERROR(INDEX(FILTER('Current Cycle Tracker'!$L$2:$L$200,('Current Cycle Tracker'!$B$2:$B$200="Person 1")*('Current Cycle Tracker'!$P$2:$P$200="Yes")),ROWS($A$6:A52)),"")</x:f>
      </x:c>
      <x:c r="I52" t="str">
        <x:f>IF(H52="","",IF(H52&gt;=1,"✅","☐"))</x:f>
      </x:c>
      <x:c r="J52" t="str">
        <x:f>IFERROR(INDEX(FILTER('Current Cycle Tracker'!$M$2:$M$200,('Current Cycle Tracker'!$B$2:$B$200="Person 1")*('Current Cycle Tracker'!$P$2:$P$200="Yes")),ROWS($A$6:A52)),"")</x:f>
      </x:c>
      <x:c r="K52" t="str">
        <x:f>IFERROR(INDEX(FILTER('Current Cycle Tracker'!$N$2:$N$200,('Current Cycle Tracker'!$B$2:$B$200="Person 1")*('Current Cycle Tracker'!$P$2:$P$200="Yes")),ROWS($A$6:A52)),"")</x:f>
      </x:c>
      <x:c r="L52" t="str">
        <x:f>IFERROR(INDEX(FILTER('Current Cycle Tracker'!$Q$2:$Q$200,('Current Cycle Tracker'!$B$2:$B$200="Person 1")*('Current Cycle Tracker'!$P$2:$P$200="Yes")),ROWS($A$6:A52)),"")</x:f>
      </x:c>
    </x:row>
    <x:row r="53">
      <x:c r="A53" t="str">
        <x:f>IFERROR(INDEX(FILTER('Current Cycle Tracker'!$C$2:$C$200,('Current Cycle Tracker'!$B$2:$B$200="Person 1")*('Current Cycle Tracker'!$P$2:$P$200="Yes")),ROWS($A$6:A53)),"")</x:f>
      </x:c>
      <x:c r="B53" t="str">
        <x:f>IFERROR(INDEX(FILTER('Current Cycle Tracker'!$D$2:$D$200,('Current Cycle Tracker'!$B$2:$B$200="Person 1")*('Current Cycle Tracker'!$P$2:$P$200="Yes")),ROWS($A$6:A53)),"")</x:f>
      </x:c>
      <x:c r="C53" t="str">
        <x:f>IFERROR(INDEX(FILTER('Current Cycle Tracker'!$G$2:$G$200,('Current Cycle Tracker'!$B$2:$B$200="Person 1")*('Current Cycle Tracker'!$P$2:$P$200="Yes")),ROWS($A$6:A53)),"")</x:f>
      </x:c>
      <x:c r="D53" t="str">
        <x:f>IFERROR(INDEX(FILTER('Current Cycle Tracker'!$H$2:$H$200,('Current Cycle Tracker'!$B$2:$B$200="Person 1")*('Current Cycle Tracker'!$P$2:$P$200="Yes")),ROWS($A$6:A53)),"")</x:f>
      </x:c>
      <x:c r="E53" t="str">
        <x:f>IFERROR(INDEX(FILTER('Current Cycle Tracker'!$I$2:$I$200,('Current Cycle Tracker'!$B$2:$B$200="Person 1")*('Current Cycle Tracker'!$P$2:$P$200="Yes")),ROWS($A$6:A53)),"")</x:f>
      </x:c>
      <x:c r="F53" t="str">
        <x:f>IFERROR(INDEX(FILTER('Current Cycle Tracker'!$J$2:$J$200,('Current Cycle Tracker'!$B$2:$B$200="Person 1")*('Current Cycle Tracker'!$P$2:$P$200="Yes")),ROWS($A$6:A53)),"")</x:f>
      </x:c>
      <x:c r="G53" t="str">
        <x:f>IFERROR(INDEX(FILTER('Current Cycle Tracker'!$K$2:$K$200,('Current Cycle Tracker'!$B$2:$B$200="Person 1")*('Current Cycle Tracker'!$P$2:$P$200="Yes")),ROWS($A$6:A53)),"")</x:f>
      </x:c>
      <x:c r="H53" t="str">
        <x:f>IFERROR(INDEX(FILTER('Current Cycle Tracker'!$L$2:$L$200,('Current Cycle Tracker'!$B$2:$B$200="Person 1")*('Current Cycle Tracker'!$P$2:$P$200="Yes")),ROWS($A$6:A53)),"")</x:f>
      </x:c>
      <x:c r="I53" t="str">
        <x:f>IF(H53="","",IF(H53&gt;=1,"✅","☐"))</x:f>
      </x:c>
      <x:c r="J53" t="str">
        <x:f>IFERROR(INDEX(FILTER('Current Cycle Tracker'!$M$2:$M$200,('Current Cycle Tracker'!$B$2:$B$200="Person 1")*('Current Cycle Tracker'!$P$2:$P$200="Yes")),ROWS($A$6:A53)),"")</x:f>
      </x:c>
      <x:c r="K53" t="str">
        <x:f>IFERROR(INDEX(FILTER('Current Cycle Tracker'!$N$2:$N$200,('Current Cycle Tracker'!$B$2:$B$200="Person 1")*('Current Cycle Tracker'!$P$2:$P$200="Yes")),ROWS($A$6:A53)),"")</x:f>
      </x:c>
      <x:c r="L53" t="str">
        <x:f>IFERROR(INDEX(FILTER('Current Cycle Tracker'!$Q$2:$Q$200,('Current Cycle Tracker'!$B$2:$B$200="Person 1")*('Current Cycle Tracker'!$P$2:$P$200="Yes")),ROWS($A$6:A53)),"")</x:f>
      </x:c>
    </x:row>
    <x:row r="54">
      <x:c r="A54" t="str">
        <x:f>IFERROR(INDEX(FILTER('Current Cycle Tracker'!$C$2:$C$200,('Current Cycle Tracker'!$B$2:$B$200="Person 1")*('Current Cycle Tracker'!$P$2:$P$200="Yes")),ROWS($A$6:A54)),"")</x:f>
      </x:c>
      <x:c r="B54" t="str">
        <x:f>IFERROR(INDEX(FILTER('Current Cycle Tracker'!$D$2:$D$200,('Current Cycle Tracker'!$B$2:$B$200="Person 1")*('Current Cycle Tracker'!$P$2:$P$200="Yes")),ROWS($A$6:A54)),"")</x:f>
      </x:c>
      <x:c r="C54" t="str">
        <x:f>IFERROR(INDEX(FILTER('Current Cycle Tracker'!$G$2:$G$200,('Current Cycle Tracker'!$B$2:$B$200="Person 1")*('Current Cycle Tracker'!$P$2:$P$200="Yes")),ROWS($A$6:A54)),"")</x:f>
      </x:c>
      <x:c r="D54" t="str">
        <x:f>IFERROR(INDEX(FILTER('Current Cycle Tracker'!$H$2:$H$200,('Current Cycle Tracker'!$B$2:$B$200="Person 1")*('Current Cycle Tracker'!$P$2:$P$200="Yes")),ROWS($A$6:A54)),"")</x:f>
      </x:c>
      <x:c r="E54" t="str">
        <x:f>IFERROR(INDEX(FILTER('Current Cycle Tracker'!$I$2:$I$200,('Current Cycle Tracker'!$B$2:$B$200="Person 1")*('Current Cycle Tracker'!$P$2:$P$200="Yes")),ROWS($A$6:A54)),"")</x:f>
      </x:c>
      <x:c r="F54" t="str">
        <x:f>IFERROR(INDEX(FILTER('Current Cycle Tracker'!$J$2:$J$200,('Current Cycle Tracker'!$B$2:$B$200="Person 1")*('Current Cycle Tracker'!$P$2:$P$200="Yes")),ROWS($A$6:A54)),"")</x:f>
      </x:c>
      <x:c r="G54" t="str">
        <x:f>IFERROR(INDEX(FILTER('Current Cycle Tracker'!$K$2:$K$200,('Current Cycle Tracker'!$B$2:$B$200="Person 1")*('Current Cycle Tracker'!$P$2:$P$200="Yes")),ROWS($A$6:A54)),"")</x:f>
      </x:c>
      <x:c r="H54" t="str">
        <x:f>IFERROR(INDEX(FILTER('Current Cycle Tracker'!$L$2:$L$200,('Current Cycle Tracker'!$B$2:$B$200="Person 1")*('Current Cycle Tracker'!$P$2:$P$200="Yes")),ROWS($A$6:A54)),"")</x:f>
      </x:c>
      <x:c r="I54" t="str">
        <x:f>IF(H54="","",IF(H54&gt;=1,"✅","☐"))</x:f>
      </x:c>
      <x:c r="J54" t="str">
        <x:f>IFERROR(INDEX(FILTER('Current Cycle Tracker'!$M$2:$M$200,('Current Cycle Tracker'!$B$2:$B$200="Person 1")*('Current Cycle Tracker'!$P$2:$P$200="Yes")),ROWS($A$6:A54)),"")</x:f>
      </x:c>
      <x:c r="K54" t="str">
        <x:f>IFERROR(INDEX(FILTER('Current Cycle Tracker'!$N$2:$N$200,('Current Cycle Tracker'!$B$2:$B$200="Person 1")*('Current Cycle Tracker'!$P$2:$P$200="Yes")),ROWS($A$6:A54)),"")</x:f>
      </x:c>
      <x:c r="L54" t="str">
        <x:f>IFERROR(INDEX(FILTER('Current Cycle Tracker'!$Q$2:$Q$200,('Current Cycle Tracker'!$B$2:$B$200="Person 1")*('Current Cycle Tracker'!$P$2:$P$200="Yes")),ROWS($A$6:A54)),"")</x:f>
      </x:c>
    </x:row>
    <x:row r="55">
      <x:c r="A55" t="str">
        <x:f>IFERROR(INDEX(FILTER('Current Cycle Tracker'!$C$2:$C$200,('Current Cycle Tracker'!$B$2:$B$200="Person 1")*('Current Cycle Tracker'!$P$2:$P$200="Yes")),ROWS($A$6:A55)),"")</x:f>
      </x:c>
      <x:c r="B55" t="str">
        <x:f>IFERROR(INDEX(FILTER('Current Cycle Tracker'!$D$2:$D$200,('Current Cycle Tracker'!$B$2:$B$200="Person 1")*('Current Cycle Tracker'!$P$2:$P$200="Yes")),ROWS($A$6:A55)),"")</x:f>
      </x:c>
      <x:c r="C55" t="str">
        <x:f>IFERROR(INDEX(FILTER('Current Cycle Tracker'!$G$2:$G$200,('Current Cycle Tracker'!$B$2:$B$200="Person 1")*('Current Cycle Tracker'!$P$2:$P$200="Yes")),ROWS($A$6:A55)),"")</x:f>
      </x:c>
      <x:c r="D55" t="str">
        <x:f>IFERROR(INDEX(FILTER('Current Cycle Tracker'!$H$2:$H$200,('Current Cycle Tracker'!$B$2:$B$200="Person 1")*('Current Cycle Tracker'!$P$2:$P$200="Yes")),ROWS($A$6:A55)),"")</x:f>
      </x:c>
      <x:c r="E55" t="str">
        <x:f>IFERROR(INDEX(FILTER('Current Cycle Tracker'!$I$2:$I$200,('Current Cycle Tracker'!$B$2:$B$200="Person 1")*('Current Cycle Tracker'!$P$2:$P$200="Yes")),ROWS($A$6:A55)),"")</x:f>
      </x:c>
      <x:c r="F55" t="str">
        <x:f>IFERROR(INDEX(FILTER('Current Cycle Tracker'!$J$2:$J$200,('Current Cycle Tracker'!$B$2:$B$200="Person 1")*('Current Cycle Tracker'!$P$2:$P$200="Yes")),ROWS($A$6:A55)),"")</x:f>
      </x:c>
      <x:c r="G55" t="str">
        <x:f>IFERROR(INDEX(FILTER('Current Cycle Tracker'!$K$2:$K$200,('Current Cycle Tracker'!$B$2:$B$200="Person 1")*('Current Cycle Tracker'!$P$2:$P$200="Yes")),ROWS($A$6:A55)),"")</x:f>
      </x:c>
      <x:c r="H55" t="str">
        <x:f>IFERROR(INDEX(FILTER('Current Cycle Tracker'!$L$2:$L$200,('Current Cycle Tracker'!$B$2:$B$200="Person 1")*('Current Cycle Tracker'!$P$2:$P$200="Yes")),ROWS($A$6:A55)),"")</x:f>
      </x:c>
      <x:c r="I55" t="str">
        <x:f>IF(H55="","",IF(H55&gt;=1,"✅","☐"))</x:f>
      </x:c>
      <x:c r="J55" t="str">
        <x:f>IFERROR(INDEX(FILTER('Current Cycle Tracker'!$M$2:$M$200,('Current Cycle Tracker'!$B$2:$B$200="Person 1")*('Current Cycle Tracker'!$P$2:$P$200="Yes")),ROWS($A$6:A55)),"")</x:f>
      </x:c>
      <x:c r="K55" t="str">
        <x:f>IFERROR(INDEX(FILTER('Current Cycle Tracker'!$N$2:$N$200,('Current Cycle Tracker'!$B$2:$B$200="Person 1")*('Current Cycle Tracker'!$P$2:$P$200="Yes")),ROWS($A$6:A55)),"")</x:f>
      </x:c>
      <x:c r="L55" t="str">
        <x:f>IFERROR(INDEX(FILTER('Current Cycle Tracker'!$Q$2:$Q$200,('Current Cycle Tracker'!$B$2:$B$200="Person 1")*('Current Cycle Tracker'!$P$2:$P$200="Yes")),ROWS($A$6:A55)),"")</x:f>
      </x:c>
    </x:row>
    <x:row r="56">
      <x:c r="A56" t="str">
        <x:f>IFERROR(INDEX(FILTER('Current Cycle Tracker'!$C$2:$C$200,('Current Cycle Tracker'!$B$2:$B$200="Person 1")*('Current Cycle Tracker'!$P$2:$P$200="Yes")),ROWS($A$6:A56)),"")</x:f>
      </x:c>
      <x:c r="B56" t="str">
        <x:f>IFERROR(INDEX(FILTER('Current Cycle Tracker'!$D$2:$D$200,('Current Cycle Tracker'!$B$2:$B$200="Person 1")*('Current Cycle Tracker'!$P$2:$P$200="Yes")),ROWS($A$6:A56)),"")</x:f>
      </x:c>
      <x:c r="C56" t="str">
        <x:f>IFERROR(INDEX(FILTER('Current Cycle Tracker'!$G$2:$G$200,('Current Cycle Tracker'!$B$2:$B$200="Person 1")*('Current Cycle Tracker'!$P$2:$P$200="Yes")),ROWS($A$6:A56)),"")</x:f>
      </x:c>
      <x:c r="D56" t="str">
        <x:f>IFERROR(INDEX(FILTER('Current Cycle Tracker'!$H$2:$H$200,('Current Cycle Tracker'!$B$2:$B$200="Person 1")*('Current Cycle Tracker'!$P$2:$P$200="Yes")),ROWS($A$6:A56)),"")</x:f>
      </x:c>
      <x:c r="E56" t="str">
        <x:f>IFERROR(INDEX(FILTER('Current Cycle Tracker'!$I$2:$I$200,('Current Cycle Tracker'!$B$2:$B$200="Person 1")*('Current Cycle Tracker'!$P$2:$P$200="Yes")),ROWS($A$6:A56)),"")</x:f>
      </x:c>
      <x:c r="F56" t="str">
        <x:f>IFERROR(INDEX(FILTER('Current Cycle Tracker'!$J$2:$J$200,('Current Cycle Tracker'!$B$2:$B$200="Person 1")*('Current Cycle Tracker'!$P$2:$P$200="Yes")),ROWS($A$6:A56)),"")</x:f>
      </x:c>
      <x:c r="G56" t="str">
        <x:f>IFERROR(INDEX(FILTER('Current Cycle Tracker'!$K$2:$K$200,('Current Cycle Tracker'!$B$2:$B$200="Person 1")*('Current Cycle Tracker'!$P$2:$P$200="Yes")),ROWS($A$6:A56)),"")</x:f>
      </x:c>
      <x:c r="H56" t="str">
        <x:f>IFERROR(INDEX(FILTER('Current Cycle Tracker'!$L$2:$L$200,('Current Cycle Tracker'!$B$2:$B$200="Person 1")*('Current Cycle Tracker'!$P$2:$P$200="Yes")),ROWS($A$6:A56)),"")</x:f>
      </x:c>
      <x:c r="I56" t="str">
        <x:f>IF(H56="","",IF(H56&gt;=1,"✅","☐"))</x:f>
      </x:c>
      <x:c r="J56" t="str">
        <x:f>IFERROR(INDEX(FILTER('Current Cycle Tracker'!$M$2:$M$200,('Current Cycle Tracker'!$B$2:$B$200="Person 1")*('Current Cycle Tracker'!$P$2:$P$200="Yes")),ROWS($A$6:A56)),"")</x:f>
      </x:c>
      <x:c r="K56" t="str">
        <x:f>IFERROR(INDEX(FILTER('Current Cycle Tracker'!$N$2:$N$200,('Current Cycle Tracker'!$B$2:$B$200="Person 1")*('Current Cycle Tracker'!$P$2:$P$200="Yes")),ROWS($A$6:A56)),"")</x:f>
      </x:c>
      <x:c r="L56" t="str">
        <x:f>IFERROR(INDEX(FILTER('Current Cycle Tracker'!$Q$2:$Q$200,('Current Cycle Tracker'!$B$2:$B$200="Person 1")*('Current Cycle Tracker'!$P$2:$P$200="Yes")),ROWS($A$6:A56)),"")</x:f>
      </x:c>
    </x:row>
    <x:row r="57">
      <x:c r="A57" t="str">
        <x:f>IFERROR(INDEX(FILTER('Current Cycle Tracker'!$C$2:$C$200,('Current Cycle Tracker'!$B$2:$B$200="Person 1")*('Current Cycle Tracker'!$P$2:$P$200="Yes")),ROWS($A$6:A57)),"")</x:f>
      </x:c>
      <x:c r="B57" t="str">
        <x:f>IFERROR(INDEX(FILTER('Current Cycle Tracker'!$D$2:$D$200,('Current Cycle Tracker'!$B$2:$B$200="Person 1")*('Current Cycle Tracker'!$P$2:$P$200="Yes")),ROWS($A$6:A57)),"")</x:f>
      </x:c>
      <x:c r="C57" t="str">
        <x:f>IFERROR(INDEX(FILTER('Current Cycle Tracker'!$G$2:$G$200,('Current Cycle Tracker'!$B$2:$B$200="Person 1")*('Current Cycle Tracker'!$P$2:$P$200="Yes")),ROWS($A$6:A57)),"")</x:f>
      </x:c>
      <x:c r="D57" t="str">
        <x:f>IFERROR(INDEX(FILTER('Current Cycle Tracker'!$H$2:$H$200,('Current Cycle Tracker'!$B$2:$B$200="Person 1")*('Current Cycle Tracker'!$P$2:$P$200="Yes")),ROWS($A$6:A57)),"")</x:f>
      </x:c>
      <x:c r="E57" t="str">
        <x:f>IFERROR(INDEX(FILTER('Current Cycle Tracker'!$I$2:$I$200,('Current Cycle Tracker'!$B$2:$B$200="Person 1")*('Current Cycle Tracker'!$P$2:$P$200="Yes")),ROWS($A$6:A57)),"")</x:f>
      </x:c>
      <x:c r="F57" t="str">
        <x:f>IFERROR(INDEX(FILTER('Current Cycle Tracker'!$J$2:$J$200,('Current Cycle Tracker'!$B$2:$B$200="Person 1")*('Current Cycle Tracker'!$P$2:$P$200="Yes")),ROWS($A$6:A57)),"")</x:f>
      </x:c>
      <x:c r="G57" t="str">
        <x:f>IFERROR(INDEX(FILTER('Current Cycle Tracker'!$K$2:$K$200,('Current Cycle Tracker'!$B$2:$B$200="Person 1")*('Current Cycle Tracker'!$P$2:$P$200="Yes")),ROWS($A$6:A57)),"")</x:f>
      </x:c>
      <x:c r="H57" t="str">
        <x:f>IFERROR(INDEX(FILTER('Current Cycle Tracker'!$L$2:$L$200,('Current Cycle Tracker'!$B$2:$B$200="Person 1")*('Current Cycle Tracker'!$P$2:$P$200="Yes")),ROWS($A$6:A57)),"")</x:f>
      </x:c>
      <x:c r="I57" t="str">
        <x:f>IF(H57="","",IF(H57&gt;=1,"✅","☐"))</x:f>
      </x:c>
      <x:c r="J57" t="str">
        <x:f>IFERROR(INDEX(FILTER('Current Cycle Tracker'!$M$2:$M$200,('Current Cycle Tracker'!$B$2:$B$200="Person 1")*('Current Cycle Tracker'!$P$2:$P$200="Yes")),ROWS($A$6:A57)),"")</x:f>
      </x:c>
      <x:c r="K57" t="str">
        <x:f>IFERROR(INDEX(FILTER('Current Cycle Tracker'!$N$2:$N$200,('Current Cycle Tracker'!$B$2:$B$200="Person 1")*('Current Cycle Tracker'!$P$2:$P$200="Yes")),ROWS($A$6:A57)),"")</x:f>
      </x:c>
      <x:c r="L57" t="str">
        <x:f>IFERROR(INDEX(FILTER('Current Cycle Tracker'!$Q$2:$Q$200,('Current Cycle Tracker'!$B$2:$B$200="Person 1")*('Current Cycle Tracker'!$P$2:$P$200="Yes")),ROWS($A$6:A57)),"")</x:f>
      </x:c>
    </x:row>
    <x:row r="58">
      <x:c r="A58" t="str">
        <x:f>IFERROR(INDEX(FILTER('Current Cycle Tracker'!$C$2:$C$200,('Current Cycle Tracker'!$B$2:$B$200="Person 1")*('Current Cycle Tracker'!$P$2:$P$200="Yes")),ROWS($A$6:A58)),"")</x:f>
      </x:c>
      <x:c r="B58" t="str">
        <x:f>IFERROR(INDEX(FILTER('Current Cycle Tracker'!$D$2:$D$200,('Current Cycle Tracker'!$B$2:$B$200="Person 1")*('Current Cycle Tracker'!$P$2:$P$200="Yes")),ROWS($A$6:A58)),"")</x:f>
      </x:c>
      <x:c r="C58" t="str">
        <x:f>IFERROR(INDEX(FILTER('Current Cycle Tracker'!$G$2:$G$200,('Current Cycle Tracker'!$B$2:$B$200="Person 1")*('Current Cycle Tracker'!$P$2:$P$200="Yes")),ROWS($A$6:A58)),"")</x:f>
      </x:c>
      <x:c r="D58" t="str">
        <x:f>IFERROR(INDEX(FILTER('Current Cycle Tracker'!$H$2:$H$200,('Current Cycle Tracker'!$B$2:$B$200="Person 1")*('Current Cycle Tracker'!$P$2:$P$200="Yes")),ROWS($A$6:A58)),"")</x:f>
      </x:c>
      <x:c r="E58" t="str">
        <x:f>IFERROR(INDEX(FILTER('Current Cycle Tracker'!$I$2:$I$200,('Current Cycle Tracker'!$B$2:$B$200="Person 1")*('Current Cycle Tracker'!$P$2:$P$200="Yes")),ROWS($A$6:A58)),"")</x:f>
      </x:c>
      <x:c r="F58" t="str">
        <x:f>IFERROR(INDEX(FILTER('Current Cycle Tracker'!$J$2:$J$200,('Current Cycle Tracker'!$B$2:$B$200="Person 1")*('Current Cycle Tracker'!$P$2:$P$200="Yes")),ROWS($A$6:A58)),"")</x:f>
      </x:c>
      <x:c r="G58" t="str">
        <x:f>IFERROR(INDEX(FILTER('Current Cycle Tracker'!$K$2:$K$200,('Current Cycle Tracker'!$B$2:$B$200="Person 1")*('Current Cycle Tracker'!$P$2:$P$200="Yes")),ROWS($A$6:A58)),"")</x:f>
      </x:c>
      <x:c r="H58" t="str">
        <x:f>IFERROR(INDEX(FILTER('Current Cycle Tracker'!$L$2:$L$200,('Current Cycle Tracker'!$B$2:$B$200="Person 1")*('Current Cycle Tracker'!$P$2:$P$200="Yes")),ROWS($A$6:A58)),"")</x:f>
      </x:c>
      <x:c r="I58" t="str">
        <x:f>IF(H58="","",IF(H58&gt;=1,"✅","☐"))</x:f>
      </x:c>
      <x:c r="J58" t="str">
        <x:f>IFERROR(INDEX(FILTER('Current Cycle Tracker'!$M$2:$M$200,('Current Cycle Tracker'!$B$2:$B$200="Person 1")*('Current Cycle Tracker'!$P$2:$P$200="Yes")),ROWS($A$6:A58)),"")</x:f>
      </x:c>
      <x:c r="K58" t="str">
        <x:f>IFERROR(INDEX(FILTER('Current Cycle Tracker'!$N$2:$N$200,('Current Cycle Tracker'!$B$2:$B$200="Person 1")*('Current Cycle Tracker'!$P$2:$P$200="Yes")),ROWS($A$6:A58)),"")</x:f>
      </x:c>
      <x:c r="L58" t="str">
        <x:f>IFERROR(INDEX(FILTER('Current Cycle Tracker'!$Q$2:$Q$200,('Current Cycle Tracker'!$B$2:$B$200="Person 1")*('Current Cycle Tracker'!$P$2:$P$200="Yes")),ROWS($A$6:A58)),"")</x:f>
      </x:c>
    </x:row>
    <x:row r="59">
      <x:c r="A59" t="str">
        <x:f>IFERROR(INDEX(FILTER('Current Cycle Tracker'!$C$2:$C$200,('Current Cycle Tracker'!$B$2:$B$200="Person 1")*('Current Cycle Tracker'!$P$2:$P$200="Yes")),ROWS($A$6:A59)),"")</x:f>
      </x:c>
      <x:c r="B59" t="str">
        <x:f>IFERROR(INDEX(FILTER('Current Cycle Tracker'!$D$2:$D$200,('Current Cycle Tracker'!$B$2:$B$200="Person 1")*('Current Cycle Tracker'!$P$2:$P$200="Yes")),ROWS($A$6:A59)),"")</x:f>
      </x:c>
      <x:c r="C59" t="str">
        <x:f>IFERROR(INDEX(FILTER('Current Cycle Tracker'!$G$2:$G$200,('Current Cycle Tracker'!$B$2:$B$200="Person 1")*('Current Cycle Tracker'!$P$2:$P$200="Yes")),ROWS($A$6:A59)),"")</x:f>
      </x:c>
      <x:c r="D59" t="str">
        <x:f>IFERROR(INDEX(FILTER('Current Cycle Tracker'!$H$2:$H$200,('Current Cycle Tracker'!$B$2:$B$200="Person 1")*('Current Cycle Tracker'!$P$2:$P$200="Yes")),ROWS($A$6:A59)),"")</x:f>
      </x:c>
      <x:c r="E59" t="str">
        <x:f>IFERROR(INDEX(FILTER('Current Cycle Tracker'!$I$2:$I$200,('Current Cycle Tracker'!$B$2:$B$200="Person 1")*('Current Cycle Tracker'!$P$2:$P$200="Yes")),ROWS($A$6:A59)),"")</x:f>
      </x:c>
      <x:c r="F59" t="str">
        <x:f>IFERROR(INDEX(FILTER('Current Cycle Tracker'!$J$2:$J$200,('Current Cycle Tracker'!$B$2:$B$200="Person 1")*('Current Cycle Tracker'!$P$2:$P$200="Yes")),ROWS($A$6:A59)),"")</x:f>
      </x:c>
      <x:c r="G59" t="str">
        <x:f>IFERROR(INDEX(FILTER('Current Cycle Tracker'!$K$2:$K$200,('Current Cycle Tracker'!$B$2:$B$200="Person 1")*('Current Cycle Tracker'!$P$2:$P$200="Yes")),ROWS($A$6:A59)),"")</x:f>
      </x:c>
      <x:c r="H59" t="str">
        <x:f>IFERROR(INDEX(FILTER('Current Cycle Tracker'!$L$2:$L$200,('Current Cycle Tracker'!$B$2:$B$200="Person 1")*('Current Cycle Tracker'!$P$2:$P$200="Yes")),ROWS($A$6:A59)),"")</x:f>
      </x:c>
      <x:c r="I59" t="str">
        <x:f>IF(H59="","",IF(H59&gt;=1,"✅","☐"))</x:f>
      </x:c>
      <x:c r="J59" t="str">
        <x:f>IFERROR(INDEX(FILTER('Current Cycle Tracker'!$M$2:$M$200,('Current Cycle Tracker'!$B$2:$B$200="Person 1")*('Current Cycle Tracker'!$P$2:$P$200="Yes")),ROWS($A$6:A59)),"")</x:f>
      </x:c>
      <x:c r="K59" t="str">
        <x:f>IFERROR(INDEX(FILTER('Current Cycle Tracker'!$N$2:$N$200,('Current Cycle Tracker'!$B$2:$B$200="Person 1")*('Current Cycle Tracker'!$P$2:$P$200="Yes")),ROWS($A$6:A59)),"")</x:f>
      </x:c>
      <x:c r="L59" t="str">
        <x:f>IFERROR(INDEX(FILTER('Current Cycle Tracker'!$Q$2:$Q$200,('Current Cycle Tracker'!$B$2:$B$200="Person 1")*('Current Cycle Tracker'!$P$2:$P$200="Yes")),ROWS($A$6:A59)),"")</x:f>
      </x:c>
    </x:row>
    <x:row r="60">
      <x:c r="A60" t="str">
        <x:f>IFERROR(INDEX(FILTER('Current Cycle Tracker'!$C$2:$C$200,('Current Cycle Tracker'!$B$2:$B$200="Person 1")*('Current Cycle Tracker'!$P$2:$P$200="Yes")),ROWS($A$6:A60)),"")</x:f>
      </x:c>
      <x:c r="B60" t="str">
        <x:f>IFERROR(INDEX(FILTER('Current Cycle Tracker'!$D$2:$D$200,('Current Cycle Tracker'!$B$2:$B$200="Person 1")*('Current Cycle Tracker'!$P$2:$P$200="Yes")),ROWS($A$6:A60)),"")</x:f>
      </x:c>
      <x:c r="C60" t="str">
        <x:f>IFERROR(INDEX(FILTER('Current Cycle Tracker'!$G$2:$G$200,('Current Cycle Tracker'!$B$2:$B$200="Person 1")*('Current Cycle Tracker'!$P$2:$P$200="Yes")),ROWS($A$6:A60)),"")</x:f>
      </x:c>
      <x:c r="D60" t="str">
        <x:f>IFERROR(INDEX(FILTER('Current Cycle Tracker'!$H$2:$H$200,('Current Cycle Tracker'!$B$2:$B$200="Person 1")*('Current Cycle Tracker'!$P$2:$P$200="Yes")),ROWS($A$6:A60)),"")</x:f>
      </x:c>
      <x:c r="E60" t="str">
        <x:f>IFERROR(INDEX(FILTER('Current Cycle Tracker'!$I$2:$I$200,('Current Cycle Tracker'!$B$2:$B$200="Person 1")*('Current Cycle Tracker'!$P$2:$P$200="Yes")),ROWS($A$6:A60)),"")</x:f>
      </x:c>
      <x:c r="F60" t="str">
        <x:f>IFERROR(INDEX(FILTER('Current Cycle Tracker'!$J$2:$J$200,('Current Cycle Tracker'!$B$2:$B$200="Person 1")*('Current Cycle Tracker'!$P$2:$P$200="Yes")),ROWS($A$6:A60)),"")</x:f>
      </x:c>
      <x:c r="G60" t="str">
        <x:f>IFERROR(INDEX(FILTER('Current Cycle Tracker'!$K$2:$K$200,('Current Cycle Tracker'!$B$2:$B$200="Person 1")*('Current Cycle Tracker'!$P$2:$P$200="Yes")),ROWS($A$6:A60)),"")</x:f>
      </x:c>
      <x:c r="H60" t="str">
        <x:f>IFERROR(INDEX(FILTER('Current Cycle Tracker'!$L$2:$L$200,('Current Cycle Tracker'!$B$2:$B$200="Person 1")*('Current Cycle Tracker'!$P$2:$P$200="Yes")),ROWS($A$6:A60)),"")</x:f>
      </x:c>
      <x:c r="I60" t="str">
        <x:f>IF(H60="","",IF(H60&gt;=1,"✅","☐"))</x:f>
      </x:c>
      <x:c r="J60" t="str">
        <x:f>IFERROR(INDEX(FILTER('Current Cycle Tracker'!$M$2:$M$200,('Current Cycle Tracker'!$B$2:$B$200="Person 1")*('Current Cycle Tracker'!$P$2:$P$200="Yes")),ROWS($A$6:A60)),"")</x:f>
      </x:c>
      <x:c r="K60" t="str">
        <x:f>IFERROR(INDEX(FILTER('Current Cycle Tracker'!$N$2:$N$200,('Current Cycle Tracker'!$B$2:$B$200="Person 1")*('Current Cycle Tracker'!$P$2:$P$200="Yes")),ROWS($A$6:A60)),"")</x:f>
      </x:c>
      <x:c r="L60" t="str">
        <x:f>IFERROR(INDEX(FILTER('Current Cycle Tracker'!$Q$2:$Q$200,('Current Cycle Tracker'!$B$2:$B$200="Person 1")*('Current Cycle Tracker'!$P$2:$P$200="Yes")),ROWS($A$6:A60)),"")</x:f>
      </x:c>
    </x:row>
    <x:row r="61">
      <x:c r="A61" t="str">
        <x:f>IFERROR(INDEX(FILTER('Current Cycle Tracker'!$C$2:$C$200,('Current Cycle Tracker'!$B$2:$B$200="Person 1")*('Current Cycle Tracker'!$P$2:$P$200="Yes")),ROWS($A$6:A61)),"")</x:f>
      </x:c>
      <x:c r="B61" t="str">
        <x:f>IFERROR(INDEX(FILTER('Current Cycle Tracker'!$D$2:$D$200,('Current Cycle Tracker'!$B$2:$B$200="Person 1")*('Current Cycle Tracker'!$P$2:$P$200="Yes")),ROWS($A$6:A61)),"")</x:f>
      </x:c>
      <x:c r="C61" t="str">
        <x:f>IFERROR(INDEX(FILTER('Current Cycle Tracker'!$G$2:$G$200,('Current Cycle Tracker'!$B$2:$B$200="Person 1")*('Current Cycle Tracker'!$P$2:$P$200="Yes")),ROWS($A$6:A61)),"")</x:f>
      </x:c>
      <x:c r="D61" t="str">
        <x:f>IFERROR(INDEX(FILTER('Current Cycle Tracker'!$H$2:$H$200,('Current Cycle Tracker'!$B$2:$B$200="Person 1")*('Current Cycle Tracker'!$P$2:$P$200="Yes")),ROWS($A$6:A61)),"")</x:f>
      </x:c>
      <x:c r="E61" t="str">
        <x:f>IFERROR(INDEX(FILTER('Current Cycle Tracker'!$I$2:$I$200,('Current Cycle Tracker'!$B$2:$B$200="Person 1")*('Current Cycle Tracker'!$P$2:$P$200="Yes")),ROWS($A$6:A61)),"")</x:f>
      </x:c>
      <x:c r="F61" t="str">
        <x:f>IFERROR(INDEX(FILTER('Current Cycle Tracker'!$J$2:$J$200,('Current Cycle Tracker'!$B$2:$B$200="Person 1")*('Current Cycle Tracker'!$P$2:$P$200="Yes")),ROWS($A$6:A61)),"")</x:f>
      </x:c>
      <x:c r="G61" t="str">
        <x:f>IFERROR(INDEX(FILTER('Current Cycle Tracker'!$K$2:$K$200,('Current Cycle Tracker'!$B$2:$B$200="Person 1")*('Current Cycle Tracker'!$P$2:$P$200="Yes")),ROWS($A$6:A61)),"")</x:f>
      </x:c>
      <x:c r="H61" t="str">
        <x:f>IFERROR(INDEX(FILTER('Current Cycle Tracker'!$L$2:$L$200,('Current Cycle Tracker'!$B$2:$B$200="Person 1")*('Current Cycle Tracker'!$P$2:$P$200="Yes")),ROWS($A$6:A61)),"")</x:f>
      </x:c>
      <x:c r="I61" t="str">
        <x:f>IF(H61="","",IF(H61&gt;=1,"✅","☐"))</x:f>
      </x:c>
      <x:c r="J61" t="str">
        <x:f>IFERROR(INDEX(FILTER('Current Cycle Tracker'!$M$2:$M$200,('Current Cycle Tracker'!$B$2:$B$200="Person 1")*('Current Cycle Tracker'!$P$2:$P$200="Yes")),ROWS($A$6:A61)),"")</x:f>
      </x:c>
      <x:c r="K61" t="str">
        <x:f>IFERROR(INDEX(FILTER('Current Cycle Tracker'!$N$2:$N$200,('Current Cycle Tracker'!$B$2:$B$200="Person 1")*('Current Cycle Tracker'!$P$2:$P$200="Yes")),ROWS($A$6:A61)),"")</x:f>
      </x:c>
      <x:c r="L61" t="str">
        <x:f>IFERROR(INDEX(FILTER('Current Cycle Tracker'!$Q$2:$Q$200,('Current Cycle Tracker'!$B$2:$B$200="Person 1")*('Current Cycle Tracker'!$P$2:$P$200="Yes")),ROWS($A$6:A61)),"")</x:f>
      </x:c>
    </x:row>
    <x:row r="62">
      <x:c r="A62" t="str">
        <x:f>IFERROR(INDEX(FILTER('Current Cycle Tracker'!$C$2:$C$200,('Current Cycle Tracker'!$B$2:$B$200="Person 1")*('Current Cycle Tracker'!$P$2:$P$200="Yes")),ROWS($A$6:A62)),"")</x:f>
      </x:c>
      <x:c r="B62" t="str">
        <x:f>IFERROR(INDEX(FILTER('Current Cycle Tracker'!$D$2:$D$200,('Current Cycle Tracker'!$B$2:$B$200="Person 1")*('Current Cycle Tracker'!$P$2:$P$200="Yes")),ROWS($A$6:A62)),"")</x:f>
      </x:c>
      <x:c r="C62" t="str">
        <x:f>IFERROR(INDEX(FILTER('Current Cycle Tracker'!$G$2:$G$200,('Current Cycle Tracker'!$B$2:$B$200="Person 1")*('Current Cycle Tracker'!$P$2:$P$200="Yes")),ROWS($A$6:A62)),"")</x:f>
      </x:c>
      <x:c r="D62" t="str">
        <x:f>IFERROR(INDEX(FILTER('Current Cycle Tracker'!$H$2:$H$200,('Current Cycle Tracker'!$B$2:$B$200="Person 1")*('Current Cycle Tracker'!$P$2:$P$200="Yes")),ROWS($A$6:A62)),"")</x:f>
      </x:c>
      <x:c r="E62" t="str">
        <x:f>IFERROR(INDEX(FILTER('Current Cycle Tracker'!$I$2:$I$200,('Current Cycle Tracker'!$B$2:$B$200="Person 1")*('Current Cycle Tracker'!$P$2:$P$200="Yes")),ROWS($A$6:A62)),"")</x:f>
      </x:c>
      <x:c r="F62" t="str">
        <x:f>IFERROR(INDEX(FILTER('Current Cycle Tracker'!$J$2:$J$200,('Current Cycle Tracker'!$B$2:$B$200="Person 1")*('Current Cycle Tracker'!$P$2:$P$200="Yes")),ROWS($A$6:A62)),"")</x:f>
      </x:c>
      <x:c r="G62" t="str">
        <x:f>IFERROR(INDEX(FILTER('Current Cycle Tracker'!$K$2:$K$200,('Current Cycle Tracker'!$B$2:$B$200="Person 1")*('Current Cycle Tracker'!$P$2:$P$200="Yes")),ROWS($A$6:A62)),"")</x:f>
      </x:c>
      <x:c r="H62" t="str">
        <x:f>IFERROR(INDEX(FILTER('Current Cycle Tracker'!$L$2:$L$200,('Current Cycle Tracker'!$B$2:$B$200="Person 1")*('Current Cycle Tracker'!$P$2:$P$200="Yes")),ROWS($A$6:A62)),"")</x:f>
      </x:c>
      <x:c r="I62" t="str">
        <x:f>IF(H62="","",IF(H62&gt;=1,"✅","☐"))</x:f>
      </x:c>
      <x:c r="J62" t="str">
        <x:f>IFERROR(INDEX(FILTER('Current Cycle Tracker'!$M$2:$M$200,('Current Cycle Tracker'!$B$2:$B$200="Person 1")*('Current Cycle Tracker'!$P$2:$P$200="Yes")),ROWS($A$6:A62)),"")</x:f>
      </x:c>
      <x:c r="K62" t="str">
        <x:f>IFERROR(INDEX(FILTER('Current Cycle Tracker'!$N$2:$N$200,('Current Cycle Tracker'!$B$2:$B$200="Person 1")*('Current Cycle Tracker'!$P$2:$P$200="Yes")),ROWS($A$6:A62)),"")</x:f>
      </x:c>
      <x:c r="L62" t="str">
        <x:f>IFERROR(INDEX(FILTER('Current Cycle Tracker'!$Q$2:$Q$200,('Current Cycle Tracker'!$B$2:$B$200="Person 1")*('Current Cycle Tracker'!$P$2:$P$200="Yes")),ROWS($A$6:A62)),"")</x:f>
      </x:c>
    </x:row>
    <x:row r="63">
      <x:c r="A63" t="str">
        <x:f>IFERROR(INDEX(FILTER('Current Cycle Tracker'!$C$2:$C$200,('Current Cycle Tracker'!$B$2:$B$200="Person 1")*('Current Cycle Tracker'!$P$2:$P$200="Yes")),ROWS($A$6:A63)),"")</x:f>
      </x:c>
      <x:c r="B63" t="str">
        <x:f>IFERROR(INDEX(FILTER('Current Cycle Tracker'!$D$2:$D$200,('Current Cycle Tracker'!$B$2:$B$200="Person 1")*('Current Cycle Tracker'!$P$2:$P$200="Yes")),ROWS($A$6:A63)),"")</x:f>
      </x:c>
      <x:c r="C63" t="str">
        <x:f>IFERROR(INDEX(FILTER('Current Cycle Tracker'!$G$2:$G$200,('Current Cycle Tracker'!$B$2:$B$200="Person 1")*('Current Cycle Tracker'!$P$2:$P$200="Yes")),ROWS($A$6:A63)),"")</x:f>
      </x:c>
      <x:c r="D63" t="str">
        <x:f>IFERROR(INDEX(FILTER('Current Cycle Tracker'!$H$2:$H$200,('Current Cycle Tracker'!$B$2:$B$200="Person 1")*('Current Cycle Tracker'!$P$2:$P$200="Yes")),ROWS($A$6:A63)),"")</x:f>
      </x:c>
      <x:c r="E63" t="str">
        <x:f>IFERROR(INDEX(FILTER('Current Cycle Tracker'!$I$2:$I$200,('Current Cycle Tracker'!$B$2:$B$200="Person 1")*('Current Cycle Tracker'!$P$2:$P$200="Yes")),ROWS($A$6:A63)),"")</x:f>
      </x:c>
      <x:c r="F63" t="str">
        <x:f>IFERROR(INDEX(FILTER('Current Cycle Tracker'!$J$2:$J$200,('Current Cycle Tracker'!$B$2:$B$200="Person 1")*('Current Cycle Tracker'!$P$2:$P$200="Yes")),ROWS($A$6:A63)),"")</x:f>
      </x:c>
      <x:c r="G63" t="str">
        <x:f>IFERROR(INDEX(FILTER('Current Cycle Tracker'!$K$2:$K$200,('Current Cycle Tracker'!$B$2:$B$200="Person 1")*('Current Cycle Tracker'!$P$2:$P$200="Yes")),ROWS($A$6:A63)),"")</x:f>
      </x:c>
      <x:c r="H63" t="str">
        <x:f>IFERROR(INDEX(FILTER('Current Cycle Tracker'!$L$2:$L$200,('Current Cycle Tracker'!$B$2:$B$200="Person 1")*('Current Cycle Tracker'!$P$2:$P$200="Yes")),ROWS($A$6:A63)),"")</x:f>
      </x:c>
      <x:c r="I63" t="str">
        <x:f>IF(H63="","",IF(H63&gt;=1,"✅","☐"))</x:f>
      </x:c>
      <x:c r="J63" t="str">
        <x:f>IFERROR(INDEX(FILTER('Current Cycle Tracker'!$M$2:$M$200,('Current Cycle Tracker'!$B$2:$B$200="Person 1")*('Current Cycle Tracker'!$P$2:$P$200="Yes")),ROWS($A$6:A63)),"")</x:f>
      </x:c>
      <x:c r="K63" t="str">
        <x:f>IFERROR(INDEX(FILTER('Current Cycle Tracker'!$N$2:$N$200,('Current Cycle Tracker'!$B$2:$B$200="Person 1")*('Current Cycle Tracker'!$P$2:$P$200="Yes")),ROWS($A$6:A63)),"")</x:f>
      </x:c>
      <x:c r="L63" t="str">
        <x:f>IFERROR(INDEX(FILTER('Current Cycle Tracker'!$Q$2:$Q$200,('Current Cycle Tracker'!$B$2:$B$200="Person 1")*('Current Cycle Tracker'!$P$2:$P$200="Yes")),ROWS($A$6:A63)),"")</x:f>
      </x:c>
    </x:row>
    <x:row r="64">
      <x:c r="A64" t="str">
        <x:f>IFERROR(INDEX(FILTER('Current Cycle Tracker'!$C$2:$C$200,('Current Cycle Tracker'!$B$2:$B$200="Person 1")*('Current Cycle Tracker'!$P$2:$P$200="Yes")),ROWS($A$6:A64)),"")</x:f>
      </x:c>
      <x:c r="B64" t="str">
        <x:f>IFERROR(INDEX(FILTER('Current Cycle Tracker'!$D$2:$D$200,('Current Cycle Tracker'!$B$2:$B$200="Person 1")*('Current Cycle Tracker'!$P$2:$P$200="Yes")),ROWS($A$6:A64)),"")</x:f>
      </x:c>
      <x:c r="C64" t="str">
        <x:f>IFERROR(INDEX(FILTER('Current Cycle Tracker'!$G$2:$G$200,('Current Cycle Tracker'!$B$2:$B$200="Person 1")*('Current Cycle Tracker'!$P$2:$P$200="Yes")),ROWS($A$6:A64)),"")</x:f>
      </x:c>
      <x:c r="D64" t="str">
        <x:f>IFERROR(INDEX(FILTER('Current Cycle Tracker'!$H$2:$H$200,('Current Cycle Tracker'!$B$2:$B$200="Person 1")*('Current Cycle Tracker'!$P$2:$P$200="Yes")),ROWS($A$6:A64)),"")</x:f>
      </x:c>
      <x:c r="E64" t="str">
        <x:f>IFERROR(INDEX(FILTER('Current Cycle Tracker'!$I$2:$I$200,('Current Cycle Tracker'!$B$2:$B$200="Person 1")*('Current Cycle Tracker'!$P$2:$P$200="Yes")),ROWS($A$6:A64)),"")</x:f>
      </x:c>
      <x:c r="F64" t="str">
        <x:f>IFERROR(INDEX(FILTER('Current Cycle Tracker'!$J$2:$J$200,('Current Cycle Tracker'!$B$2:$B$200="Person 1")*('Current Cycle Tracker'!$P$2:$P$200="Yes")),ROWS($A$6:A64)),"")</x:f>
      </x:c>
      <x:c r="G64" t="str">
        <x:f>IFERROR(INDEX(FILTER('Current Cycle Tracker'!$K$2:$K$200,('Current Cycle Tracker'!$B$2:$B$200="Person 1")*('Current Cycle Tracker'!$P$2:$P$200="Yes")),ROWS($A$6:A64)),"")</x:f>
      </x:c>
      <x:c r="H64" t="str">
        <x:f>IFERROR(INDEX(FILTER('Current Cycle Tracker'!$L$2:$L$200,('Current Cycle Tracker'!$B$2:$B$200="Person 1")*('Current Cycle Tracker'!$P$2:$P$200="Yes")),ROWS($A$6:A64)),"")</x:f>
      </x:c>
      <x:c r="I64" t="str">
        <x:f>IF(H64="","",IF(H64&gt;=1,"✅","☐"))</x:f>
      </x:c>
      <x:c r="J64" t="str">
        <x:f>IFERROR(INDEX(FILTER('Current Cycle Tracker'!$M$2:$M$200,('Current Cycle Tracker'!$B$2:$B$200="Person 1")*('Current Cycle Tracker'!$P$2:$P$200="Yes")),ROWS($A$6:A64)),"")</x:f>
      </x:c>
      <x:c r="K64" t="str">
        <x:f>IFERROR(INDEX(FILTER('Current Cycle Tracker'!$N$2:$N$200,('Current Cycle Tracker'!$B$2:$B$200="Person 1")*('Current Cycle Tracker'!$P$2:$P$200="Yes")),ROWS($A$6:A64)),"")</x:f>
      </x:c>
      <x:c r="L64" t="str">
        <x:f>IFERROR(INDEX(FILTER('Current Cycle Tracker'!$Q$2:$Q$200,('Current Cycle Tracker'!$B$2:$B$200="Person 1")*('Current Cycle Tracker'!$P$2:$P$200="Yes")),ROWS($A$6:A64)),"")</x:f>
      </x:c>
    </x:row>
    <x:row r="65">
      <x:c r="A65" t="str">
        <x:f>IFERROR(INDEX(FILTER('Current Cycle Tracker'!$C$2:$C$200,('Current Cycle Tracker'!$B$2:$B$200="Person 1")*('Current Cycle Tracker'!$P$2:$P$200="Yes")),ROWS($A$6:A65)),"")</x:f>
      </x:c>
      <x:c r="B65" t="str">
        <x:f>IFERROR(INDEX(FILTER('Current Cycle Tracker'!$D$2:$D$200,('Current Cycle Tracker'!$B$2:$B$200="Person 1")*('Current Cycle Tracker'!$P$2:$P$200="Yes")),ROWS($A$6:A65)),"")</x:f>
      </x:c>
      <x:c r="C65" t="str">
        <x:f>IFERROR(INDEX(FILTER('Current Cycle Tracker'!$G$2:$G$200,('Current Cycle Tracker'!$B$2:$B$200="Person 1")*('Current Cycle Tracker'!$P$2:$P$200="Yes")),ROWS($A$6:A65)),"")</x:f>
      </x:c>
      <x:c r="D65" t="str">
        <x:f>IFERROR(INDEX(FILTER('Current Cycle Tracker'!$H$2:$H$200,('Current Cycle Tracker'!$B$2:$B$200="Person 1")*('Current Cycle Tracker'!$P$2:$P$200="Yes")),ROWS($A$6:A65)),"")</x:f>
      </x:c>
      <x:c r="E65" t="str">
        <x:f>IFERROR(INDEX(FILTER('Current Cycle Tracker'!$I$2:$I$200,('Current Cycle Tracker'!$B$2:$B$200="Person 1")*('Current Cycle Tracker'!$P$2:$P$200="Yes")),ROWS($A$6:A65)),"")</x:f>
      </x:c>
      <x:c r="F65" t="str">
        <x:f>IFERROR(INDEX(FILTER('Current Cycle Tracker'!$J$2:$J$200,('Current Cycle Tracker'!$B$2:$B$200="Person 1")*('Current Cycle Tracker'!$P$2:$P$200="Yes")),ROWS($A$6:A65)),"")</x:f>
      </x:c>
      <x:c r="G65" t="str">
        <x:f>IFERROR(INDEX(FILTER('Current Cycle Tracker'!$K$2:$K$200,('Current Cycle Tracker'!$B$2:$B$200="Person 1")*('Current Cycle Tracker'!$P$2:$P$200="Yes")),ROWS($A$6:A65)),"")</x:f>
      </x:c>
      <x:c r="H65" t="str">
        <x:f>IFERROR(INDEX(FILTER('Current Cycle Tracker'!$L$2:$L$200,('Current Cycle Tracker'!$B$2:$B$200="Person 1")*('Current Cycle Tracker'!$P$2:$P$200="Yes")),ROWS($A$6:A65)),"")</x:f>
      </x:c>
      <x:c r="I65" t="str">
        <x:f>IF(H65="","",IF(H65&gt;=1,"✅","☐"))</x:f>
      </x:c>
      <x:c r="J65" t="str">
        <x:f>IFERROR(INDEX(FILTER('Current Cycle Tracker'!$M$2:$M$200,('Current Cycle Tracker'!$B$2:$B$200="Person 1")*('Current Cycle Tracker'!$P$2:$P$200="Yes")),ROWS($A$6:A65)),"")</x:f>
      </x:c>
      <x:c r="K65" t="str">
        <x:f>IFERROR(INDEX(FILTER('Current Cycle Tracker'!$N$2:$N$200,('Current Cycle Tracker'!$B$2:$B$200="Person 1")*('Current Cycle Tracker'!$P$2:$P$200="Yes")),ROWS($A$6:A65)),"")</x:f>
      </x:c>
      <x:c r="L65" t="str">
        <x:f>IFERROR(INDEX(FILTER('Current Cycle Tracker'!$Q$2:$Q$200,('Current Cycle Tracker'!$B$2:$B$200="Person 1")*('Current Cycle Tracker'!$P$2:$P$200="Yes")),ROWS($A$6:A65)),"")</x:f>
      </x:c>
    </x:row>
    <x:row r="66">
      <x:c r="A66" t="str">
        <x:f>IFERROR(INDEX(FILTER('Current Cycle Tracker'!$C$2:$C$200,('Current Cycle Tracker'!$B$2:$B$200="Person 1")*('Current Cycle Tracker'!$P$2:$P$200="Yes")),ROWS($A$6:A66)),"")</x:f>
      </x:c>
      <x:c r="B66" t="str">
        <x:f>IFERROR(INDEX(FILTER('Current Cycle Tracker'!$D$2:$D$200,('Current Cycle Tracker'!$B$2:$B$200="Person 1")*('Current Cycle Tracker'!$P$2:$P$200="Yes")),ROWS($A$6:A66)),"")</x:f>
      </x:c>
      <x:c r="C66" t="str">
        <x:f>IFERROR(INDEX(FILTER('Current Cycle Tracker'!$G$2:$G$200,('Current Cycle Tracker'!$B$2:$B$200="Person 1")*('Current Cycle Tracker'!$P$2:$P$200="Yes")),ROWS($A$6:A66)),"")</x:f>
      </x:c>
      <x:c r="D66" t="str">
        <x:f>IFERROR(INDEX(FILTER('Current Cycle Tracker'!$H$2:$H$200,('Current Cycle Tracker'!$B$2:$B$200="Person 1")*('Current Cycle Tracker'!$P$2:$P$200="Yes")),ROWS($A$6:A66)),"")</x:f>
      </x:c>
      <x:c r="E66" t="str">
        <x:f>IFERROR(INDEX(FILTER('Current Cycle Tracker'!$I$2:$I$200,('Current Cycle Tracker'!$B$2:$B$200="Person 1")*('Current Cycle Tracker'!$P$2:$P$200="Yes")),ROWS($A$6:A66)),"")</x:f>
      </x:c>
      <x:c r="F66" t="str">
        <x:f>IFERROR(INDEX(FILTER('Current Cycle Tracker'!$J$2:$J$200,('Current Cycle Tracker'!$B$2:$B$200="Person 1")*('Current Cycle Tracker'!$P$2:$P$200="Yes")),ROWS($A$6:A66)),"")</x:f>
      </x:c>
      <x:c r="G66" t="str">
        <x:f>IFERROR(INDEX(FILTER('Current Cycle Tracker'!$K$2:$K$200,('Current Cycle Tracker'!$B$2:$B$200="Person 1")*('Current Cycle Tracker'!$P$2:$P$200="Yes")),ROWS($A$6:A66)),"")</x:f>
      </x:c>
      <x:c r="H66" t="str">
        <x:f>IFERROR(INDEX(FILTER('Current Cycle Tracker'!$L$2:$L$200,('Current Cycle Tracker'!$B$2:$B$200="Person 1")*('Current Cycle Tracker'!$P$2:$P$200="Yes")),ROWS($A$6:A66)),"")</x:f>
      </x:c>
      <x:c r="I66" t="str">
        <x:f>IF(H66="","",IF(H66&gt;=1,"✅","☐"))</x:f>
      </x:c>
      <x:c r="J66" t="str">
        <x:f>IFERROR(INDEX(FILTER('Current Cycle Tracker'!$M$2:$M$200,('Current Cycle Tracker'!$B$2:$B$200="Person 1")*('Current Cycle Tracker'!$P$2:$P$200="Yes")),ROWS($A$6:A66)),"")</x:f>
      </x:c>
      <x:c r="K66" t="str">
        <x:f>IFERROR(INDEX(FILTER('Current Cycle Tracker'!$N$2:$N$200,('Current Cycle Tracker'!$B$2:$B$200="Person 1")*('Current Cycle Tracker'!$P$2:$P$200="Yes")),ROWS($A$6:A66)),"")</x:f>
      </x:c>
      <x:c r="L66" t="str">
        <x:f>IFERROR(INDEX(FILTER('Current Cycle Tracker'!$Q$2:$Q$200,('Current Cycle Tracker'!$B$2:$B$200="Person 1")*('Current Cycle Tracker'!$P$2:$P$200="Yes")),ROWS($A$6:A66)),"")</x:f>
      </x:c>
    </x:row>
    <x:row r="67">
      <x:c r="A67" t="str">
        <x:f>IFERROR(INDEX(FILTER('Current Cycle Tracker'!$C$2:$C$200,('Current Cycle Tracker'!$B$2:$B$200="Person 1")*('Current Cycle Tracker'!$P$2:$P$200="Yes")),ROWS($A$6:A67)),"")</x:f>
      </x:c>
      <x:c r="B67" t="str">
        <x:f>IFERROR(INDEX(FILTER('Current Cycle Tracker'!$D$2:$D$200,('Current Cycle Tracker'!$B$2:$B$200="Person 1")*('Current Cycle Tracker'!$P$2:$P$200="Yes")),ROWS($A$6:A67)),"")</x:f>
      </x:c>
      <x:c r="C67" t="str">
        <x:f>IFERROR(INDEX(FILTER('Current Cycle Tracker'!$G$2:$G$200,('Current Cycle Tracker'!$B$2:$B$200="Person 1")*('Current Cycle Tracker'!$P$2:$P$200="Yes")),ROWS($A$6:A67)),"")</x:f>
      </x:c>
      <x:c r="D67" t="str">
        <x:f>IFERROR(INDEX(FILTER('Current Cycle Tracker'!$H$2:$H$200,('Current Cycle Tracker'!$B$2:$B$200="Person 1")*('Current Cycle Tracker'!$P$2:$P$200="Yes")),ROWS($A$6:A67)),"")</x:f>
      </x:c>
      <x:c r="E67" t="str">
        <x:f>IFERROR(INDEX(FILTER('Current Cycle Tracker'!$I$2:$I$200,('Current Cycle Tracker'!$B$2:$B$200="Person 1")*('Current Cycle Tracker'!$P$2:$P$200="Yes")),ROWS($A$6:A67)),"")</x:f>
      </x:c>
      <x:c r="F67" t="str">
        <x:f>IFERROR(INDEX(FILTER('Current Cycle Tracker'!$J$2:$J$200,('Current Cycle Tracker'!$B$2:$B$200="Person 1")*('Current Cycle Tracker'!$P$2:$P$200="Yes")),ROWS($A$6:A67)),"")</x:f>
      </x:c>
      <x:c r="G67" t="str">
        <x:f>IFERROR(INDEX(FILTER('Current Cycle Tracker'!$K$2:$K$200,('Current Cycle Tracker'!$B$2:$B$200="Person 1")*('Current Cycle Tracker'!$P$2:$P$200="Yes")),ROWS($A$6:A67)),"")</x:f>
      </x:c>
      <x:c r="H67" t="str">
        <x:f>IFERROR(INDEX(FILTER('Current Cycle Tracker'!$L$2:$L$200,('Current Cycle Tracker'!$B$2:$B$200="Person 1")*('Current Cycle Tracker'!$P$2:$P$200="Yes")),ROWS($A$6:A67)),"")</x:f>
      </x:c>
      <x:c r="I67" t="str">
        <x:f>IF(H67="","",IF(H67&gt;=1,"✅","☐"))</x:f>
      </x:c>
      <x:c r="J67" t="str">
        <x:f>IFERROR(INDEX(FILTER('Current Cycle Tracker'!$M$2:$M$200,('Current Cycle Tracker'!$B$2:$B$200="Person 1")*('Current Cycle Tracker'!$P$2:$P$200="Yes")),ROWS($A$6:A67)),"")</x:f>
      </x:c>
      <x:c r="K67" t="str">
        <x:f>IFERROR(INDEX(FILTER('Current Cycle Tracker'!$N$2:$N$200,('Current Cycle Tracker'!$B$2:$B$200="Person 1")*('Current Cycle Tracker'!$P$2:$P$200="Yes")),ROWS($A$6:A67)),"")</x:f>
      </x:c>
      <x:c r="L67" t="str">
        <x:f>IFERROR(INDEX(FILTER('Current Cycle Tracker'!$Q$2:$Q$200,('Current Cycle Tracker'!$B$2:$B$200="Person 1")*('Current Cycle Tracker'!$P$2:$P$200="Yes")),ROWS($A$6:A67)),"")</x:f>
      </x:c>
    </x:row>
    <x:row r="68">
      <x:c r="A68" t="str">
        <x:f>IFERROR(INDEX(FILTER('Current Cycle Tracker'!$C$2:$C$200,('Current Cycle Tracker'!$B$2:$B$200="Person 1")*('Current Cycle Tracker'!$P$2:$P$200="Yes")),ROWS($A$6:A68)),"")</x:f>
      </x:c>
      <x:c r="B68" t="str">
        <x:f>IFERROR(INDEX(FILTER('Current Cycle Tracker'!$D$2:$D$200,('Current Cycle Tracker'!$B$2:$B$200="Person 1")*('Current Cycle Tracker'!$P$2:$P$200="Yes")),ROWS($A$6:A68)),"")</x:f>
      </x:c>
      <x:c r="C68" t="str">
        <x:f>IFERROR(INDEX(FILTER('Current Cycle Tracker'!$G$2:$G$200,('Current Cycle Tracker'!$B$2:$B$200="Person 1")*('Current Cycle Tracker'!$P$2:$P$200="Yes")),ROWS($A$6:A68)),"")</x:f>
      </x:c>
      <x:c r="D68" t="str">
        <x:f>IFERROR(INDEX(FILTER('Current Cycle Tracker'!$H$2:$H$200,('Current Cycle Tracker'!$B$2:$B$200="Person 1")*('Current Cycle Tracker'!$P$2:$P$200="Yes")),ROWS($A$6:A68)),"")</x:f>
      </x:c>
      <x:c r="E68" t="str">
        <x:f>IFERROR(INDEX(FILTER('Current Cycle Tracker'!$I$2:$I$200,('Current Cycle Tracker'!$B$2:$B$200="Person 1")*('Current Cycle Tracker'!$P$2:$P$200="Yes")),ROWS($A$6:A68)),"")</x:f>
      </x:c>
      <x:c r="F68" t="str">
        <x:f>IFERROR(INDEX(FILTER('Current Cycle Tracker'!$J$2:$J$200,('Current Cycle Tracker'!$B$2:$B$200="Person 1")*('Current Cycle Tracker'!$P$2:$P$200="Yes")),ROWS($A$6:A68)),"")</x:f>
      </x:c>
      <x:c r="G68" t="str">
        <x:f>IFERROR(INDEX(FILTER('Current Cycle Tracker'!$K$2:$K$200,('Current Cycle Tracker'!$B$2:$B$200="Person 1")*('Current Cycle Tracker'!$P$2:$P$200="Yes")),ROWS($A$6:A68)),"")</x:f>
      </x:c>
      <x:c r="H68" t="str">
        <x:f>IFERROR(INDEX(FILTER('Current Cycle Tracker'!$L$2:$L$200,('Current Cycle Tracker'!$B$2:$B$200="Person 1")*('Current Cycle Tracker'!$P$2:$P$200="Yes")),ROWS($A$6:A68)),"")</x:f>
      </x:c>
      <x:c r="I68" t="str">
        <x:f>IF(H68="","",IF(H68&gt;=1,"✅","☐"))</x:f>
      </x:c>
      <x:c r="J68" t="str">
        <x:f>IFERROR(INDEX(FILTER('Current Cycle Tracker'!$M$2:$M$200,('Current Cycle Tracker'!$B$2:$B$200="Person 1")*('Current Cycle Tracker'!$P$2:$P$200="Yes")),ROWS($A$6:A68)),"")</x:f>
      </x:c>
      <x:c r="K68" t="str">
        <x:f>IFERROR(INDEX(FILTER('Current Cycle Tracker'!$N$2:$N$200,('Current Cycle Tracker'!$B$2:$B$200="Person 1")*('Current Cycle Tracker'!$P$2:$P$200="Yes")),ROWS($A$6:A68)),"")</x:f>
      </x:c>
      <x:c r="L68" t="str">
        <x:f>IFERROR(INDEX(FILTER('Current Cycle Tracker'!$Q$2:$Q$200,('Current Cycle Tracker'!$B$2:$B$200="Person 1")*('Current Cycle Tracker'!$P$2:$P$200="Yes")),ROWS($A$6:A68)),"")</x:f>
      </x:c>
    </x:row>
    <x:row r="69">
      <x:c r="A69" t="str">
        <x:f>IFERROR(INDEX(FILTER('Current Cycle Tracker'!$C$2:$C$200,('Current Cycle Tracker'!$B$2:$B$200="Person 1")*('Current Cycle Tracker'!$P$2:$P$200="Yes")),ROWS($A$6:A69)),"")</x:f>
      </x:c>
      <x:c r="B69" t="str">
        <x:f>IFERROR(INDEX(FILTER('Current Cycle Tracker'!$D$2:$D$200,('Current Cycle Tracker'!$B$2:$B$200="Person 1")*('Current Cycle Tracker'!$P$2:$P$200="Yes")),ROWS($A$6:A69)),"")</x:f>
      </x:c>
      <x:c r="C69" t="str">
        <x:f>IFERROR(INDEX(FILTER('Current Cycle Tracker'!$G$2:$G$200,('Current Cycle Tracker'!$B$2:$B$200="Person 1")*('Current Cycle Tracker'!$P$2:$P$200="Yes")),ROWS($A$6:A69)),"")</x:f>
      </x:c>
      <x:c r="D69" t="str">
        <x:f>IFERROR(INDEX(FILTER('Current Cycle Tracker'!$H$2:$H$200,('Current Cycle Tracker'!$B$2:$B$200="Person 1")*('Current Cycle Tracker'!$P$2:$P$200="Yes")),ROWS($A$6:A69)),"")</x:f>
      </x:c>
      <x:c r="E69" t="str">
        <x:f>IFERROR(INDEX(FILTER('Current Cycle Tracker'!$I$2:$I$200,('Current Cycle Tracker'!$B$2:$B$200="Person 1")*('Current Cycle Tracker'!$P$2:$P$200="Yes")),ROWS($A$6:A69)),"")</x:f>
      </x:c>
      <x:c r="F69" t="str">
        <x:f>IFERROR(INDEX(FILTER('Current Cycle Tracker'!$J$2:$J$200,('Current Cycle Tracker'!$B$2:$B$200="Person 1")*('Current Cycle Tracker'!$P$2:$P$200="Yes")),ROWS($A$6:A69)),"")</x:f>
      </x:c>
      <x:c r="G69" t="str">
        <x:f>IFERROR(INDEX(FILTER('Current Cycle Tracker'!$K$2:$K$200,('Current Cycle Tracker'!$B$2:$B$200="Person 1")*('Current Cycle Tracker'!$P$2:$P$200="Yes")),ROWS($A$6:A69)),"")</x:f>
      </x:c>
      <x:c r="H69" t="str">
        <x:f>IFERROR(INDEX(FILTER('Current Cycle Tracker'!$L$2:$L$200,('Current Cycle Tracker'!$B$2:$B$200="Person 1")*('Current Cycle Tracker'!$P$2:$P$200="Yes")),ROWS($A$6:A69)),"")</x:f>
      </x:c>
      <x:c r="I69" t="str">
        <x:f>IF(H69="","",IF(H69&gt;=1,"✅","☐"))</x:f>
      </x:c>
      <x:c r="J69" t="str">
        <x:f>IFERROR(INDEX(FILTER('Current Cycle Tracker'!$M$2:$M$200,('Current Cycle Tracker'!$B$2:$B$200="Person 1")*('Current Cycle Tracker'!$P$2:$P$200="Yes")),ROWS($A$6:A69)),"")</x:f>
      </x:c>
      <x:c r="K69" t="str">
        <x:f>IFERROR(INDEX(FILTER('Current Cycle Tracker'!$N$2:$N$200,('Current Cycle Tracker'!$B$2:$B$200="Person 1")*('Current Cycle Tracker'!$P$2:$P$200="Yes")),ROWS($A$6:A69)),"")</x:f>
      </x:c>
      <x:c r="L69" t="str">
        <x:f>IFERROR(INDEX(FILTER('Current Cycle Tracker'!$Q$2:$Q$200,('Current Cycle Tracker'!$B$2:$B$200="Person 1")*('Current Cycle Tracker'!$P$2:$P$200="Yes")),ROWS($A$6:A69)),"")</x:f>
      </x:c>
    </x:row>
    <x:row r="70">
      <x:c r="A70" t="str">
        <x:f>IFERROR(INDEX(FILTER('Current Cycle Tracker'!$C$2:$C$200,('Current Cycle Tracker'!$B$2:$B$200="Person 1")*('Current Cycle Tracker'!$P$2:$P$200="Yes")),ROWS($A$6:A70)),"")</x:f>
      </x:c>
      <x:c r="B70" t="str">
        <x:f>IFERROR(INDEX(FILTER('Current Cycle Tracker'!$D$2:$D$200,('Current Cycle Tracker'!$B$2:$B$200="Person 1")*('Current Cycle Tracker'!$P$2:$P$200="Yes")),ROWS($A$6:A70)),"")</x:f>
      </x:c>
      <x:c r="C70" t="str">
        <x:f>IFERROR(INDEX(FILTER('Current Cycle Tracker'!$G$2:$G$200,('Current Cycle Tracker'!$B$2:$B$200="Person 1")*('Current Cycle Tracker'!$P$2:$P$200="Yes")),ROWS($A$6:A70)),"")</x:f>
      </x:c>
      <x:c r="D70" t="str">
        <x:f>IFERROR(INDEX(FILTER('Current Cycle Tracker'!$H$2:$H$200,('Current Cycle Tracker'!$B$2:$B$200="Person 1")*('Current Cycle Tracker'!$P$2:$P$200="Yes")),ROWS($A$6:A70)),"")</x:f>
      </x:c>
      <x:c r="E70" t="str">
        <x:f>IFERROR(INDEX(FILTER('Current Cycle Tracker'!$I$2:$I$200,('Current Cycle Tracker'!$B$2:$B$200="Person 1")*('Current Cycle Tracker'!$P$2:$P$200="Yes")),ROWS($A$6:A70)),"")</x:f>
      </x:c>
      <x:c r="F70" t="str">
        <x:f>IFERROR(INDEX(FILTER('Current Cycle Tracker'!$J$2:$J$200,('Current Cycle Tracker'!$B$2:$B$200="Person 1")*('Current Cycle Tracker'!$P$2:$P$200="Yes")),ROWS($A$6:A70)),"")</x:f>
      </x:c>
      <x:c r="G70" t="str">
        <x:f>IFERROR(INDEX(FILTER('Current Cycle Tracker'!$K$2:$K$200,('Current Cycle Tracker'!$B$2:$B$200="Person 1")*('Current Cycle Tracker'!$P$2:$P$200="Yes")),ROWS($A$6:A70)),"")</x:f>
      </x:c>
      <x:c r="H70" t="str">
        <x:f>IFERROR(INDEX(FILTER('Current Cycle Tracker'!$L$2:$L$200,('Current Cycle Tracker'!$B$2:$B$200="Person 1")*('Current Cycle Tracker'!$P$2:$P$200="Yes")),ROWS($A$6:A70)),"")</x:f>
      </x:c>
      <x:c r="I70" t="str">
        <x:f>IF(H70="","",IF(H70&gt;=1,"✅","☐"))</x:f>
      </x:c>
      <x:c r="J70" t="str">
        <x:f>IFERROR(INDEX(FILTER('Current Cycle Tracker'!$M$2:$M$200,('Current Cycle Tracker'!$B$2:$B$200="Person 1")*('Current Cycle Tracker'!$P$2:$P$200="Yes")),ROWS($A$6:A70)),"")</x:f>
      </x:c>
      <x:c r="K70" t="str">
        <x:f>IFERROR(INDEX(FILTER('Current Cycle Tracker'!$N$2:$N$200,('Current Cycle Tracker'!$B$2:$B$200="Person 1")*('Current Cycle Tracker'!$P$2:$P$200="Yes")),ROWS($A$6:A70)),"")</x:f>
      </x:c>
      <x:c r="L70" t="str">
        <x:f>IFERROR(INDEX(FILTER('Current Cycle Tracker'!$Q$2:$Q$200,('Current Cycle Tracker'!$B$2:$B$200="Person 1")*('Current Cycle Tracker'!$P$2:$P$200="Yes")),ROWS($A$6:A70)),"")</x:f>
      </x:c>
    </x:row>
    <x:row r="71">
      <x:c r="A71" t="str">
        <x:f>IFERROR(INDEX(FILTER('Current Cycle Tracker'!$C$2:$C$200,('Current Cycle Tracker'!$B$2:$B$200="Person 1")*('Current Cycle Tracker'!$P$2:$P$200="Yes")),ROWS($A$6:A71)),"")</x:f>
      </x:c>
      <x:c r="B71" t="str">
        <x:f>IFERROR(INDEX(FILTER('Current Cycle Tracker'!$D$2:$D$200,('Current Cycle Tracker'!$B$2:$B$200="Person 1")*('Current Cycle Tracker'!$P$2:$P$200="Yes")),ROWS($A$6:A71)),"")</x:f>
      </x:c>
      <x:c r="C71" t="str">
        <x:f>IFERROR(INDEX(FILTER('Current Cycle Tracker'!$G$2:$G$200,('Current Cycle Tracker'!$B$2:$B$200="Person 1")*('Current Cycle Tracker'!$P$2:$P$200="Yes")),ROWS($A$6:A71)),"")</x:f>
      </x:c>
      <x:c r="D71" t="str">
        <x:f>IFERROR(INDEX(FILTER('Current Cycle Tracker'!$H$2:$H$200,('Current Cycle Tracker'!$B$2:$B$200="Person 1")*('Current Cycle Tracker'!$P$2:$P$200="Yes")),ROWS($A$6:A71)),"")</x:f>
      </x:c>
      <x:c r="E71" t="str">
        <x:f>IFERROR(INDEX(FILTER('Current Cycle Tracker'!$I$2:$I$200,('Current Cycle Tracker'!$B$2:$B$200="Person 1")*('Current Cycle Tracker'!$P$2:$P$200="Yes")),ROWS($A$6:A71)),"")</x:f>
      </x:c>
      <x:c r="F71" t="str">
        <x:f>IFERROR(INDEX(FILTER('Current Cycle Tracker'!$J$2:$J$200,('Current Cycle Tracker'!$B$2:$B$200="Person 1")*('Current Cycle Tracker'!$P$2:$P$200="Yes")),ROWS($A$6:A71)),"")</x:f>
      </x:c>
      <x:c r="G71" t="str">
        <x:f>IFERROR(INDEX(FILTER('Current Cycle Tracker'!$K$2:$K$200,('Current Cycle Tracker'!$B$2:$B$200="Person 1")*('Current Cycle Tracker'!$P$2:$P$200="Yes")),ROWS($A$6:A71)),"")</x:f>
      </x:c>
      <x:c r="H71" t="str">
        <x:f>IFERROR(INDEX(FILTER('Current Cycle Tracker'!$L$2:$L$200,('Current Cycle Tracker'!$B$2:$B$200="Person 1")*('Current Cycle Tracker'!$P$2:$P$200="Yes")),ROWS($A$6:A71)),"")</x:f>
      </x:c>
      <x:c r="I71" t="str">
        <x:f>IF(H71="","",IF(H71&gt;=1,"✅","☐"))</x:f>
      </x:c>
      <x:c r="J71" t="str">
        <x:f>IFERROR(INDEX(FILTER('Current Cycle Tracker'!$M$2:$M$200,('Current Cycle Tracker'!$B$2:$B$200="Person 1")*('Current Cycle Tracker'!$P$2:$P$200="Yes")),ROWS($A$6:A71)),"")</x:f>
      </x:c>
      <x:c r="K71" t="str">
        <x:f>IFERROR(INDEX(FILTER('Current Cycle Tracker'!$N$2:$N$200,('Current Cycle Tracker'!$B$2:$B$200="Person 1")*('Current Cycle Tracker'!$P$2:$P$200="Yes")),ROWS($A$6:A71)),"")</x:f>
      </x:c>
      <x:c r="L71" t="str">
        <x:f>IFERROR(INDEX(FILTER('Current Cycle Tracker'!$Q$2:$Q$200,('Current Cycle Tracker'!$B$2:$B$200="Person 1")*('Current Cycle Tracker'!$P$2:$P$200="Yes")),ROWS($A$6:A71)),"")</x:f>
      </x:c>
    </x:row>
    <x:row r="72">
      <x:c r="A72" t="str">
        <x:f>IFERROR(INDEX(FILTER('Current Cycle Tracker'!$C$2:$C$200,('Current Cycle Tracker'!$B$2:$B$200="Person 1")*('Current Cycle Tracker'!$P$2:$P$200="Yes")),ROWS($A$6:A72)),"")</x:f>
      </x:c>
      <x:c r="B72" t="str">
        <x:f>IFERROR(INDEX(FILTER('Current Cycle Tracker'!$D$2:$D$200,('Current Cycle Tracker'!$B$2:$B$200="Person 1")*('Current Cycle Tracker'!$P$2:$P$200="Yes")),ROWS($A$6:A72)),"")</x:f>
      </x:c>
      <x:c r="C72" t="str">
        <x:f>IFERROR(INDEX(FILTER('Current Cycle Tracker'!$G$2:$G$200,('Current Cycle Tracker'!$B$2:$B$200="Person 1")*('Current Cycle Tracker'!$P$2:$P$200="Yes")),ROWS($A$6:A72)),"")</x:f>
      </x:c>
      <x:c r="D72" t="str">
        <x:f>IFERROR(INDEX(FILTER('Current Cycle Tracker'!$H$2:$H$200,('Current Cycle Tracker'!$B$2:$B$200="Person 1")*('Current Cycle Tracker'!$P$2:$P$200="Yes")),ROWS($A$6:A72)),"")</x:f>
      </x:c>
      <x:c r="E72" t="str">
        <x:f>IFERROR(INDEX(FILTER('Current Cycle Tracker'!$I$2:$I$200,('Current Cycle Tracker'!$B$2:$B$200="Person 1")*('Current Cycle Tracker'!$P$2:$P$200="Yes")),ROWS($A$6:A72)),"")</x:f>
      </x:c>
      <x:c r="F72" t="str">
        <x:f>IFERROR(INDEX(FILTER('Current Cycle Tracker'!$J$2:$J$200,('Current Cycle Tracker'!$B$2:$B$200="Person 1")*('Current Cycle Tracker'!$P$2:$P$200="Yes")),ROWS($A$6:A72)),"")</x:f>
      </x:c>
      <x:c r="G72" t="str">
        <x:f>IFERROR(INDEX(FILTER('Current Cycle Tracker'!$K$2:$K$200,('Current Cycle Tracker'!$B$2:$B$200="Person 1")*('Current Cycle Tracker'!$P$2:$P$200="Yes")),ROWS($A$6:A72)),"")</x:f>
      </x:c>
      <x:c r="H72" t="str">
        <x:f>IFERROR(INDEX(FILTER('Current Cycle Tracker'!$L$2:$L$200,('Current Cycle Tracker'!$B$2:$B$200="Person 1")*('Current Cycle Tracker'!$P$2:$P$200="Yes")),ROWS($A$6:A72)),"")</x:f>
      </x:c>
      <x:c r="I72" t="str">
        <x:f>IF(H72="","",IF(H72&gt;=1,"✅","☐"))</x:f>
      </x:c>
      <x:c r="J72" t="str">
        <x:f>IFERROR(INDEX(FILTER('Current Cycle Tracker'!$M$2:$M$200,('Current Cycle Tracker'!$B$2:$B$200="Person 1")*('Current Cycle Tracker'!$P$2:$P$200="Yes")),ROWS($A$6:A72)),"")</x:f>
      </x:c>
      <x:c r="K72" t="str">
        <x:f>IFERROR(INDEX(FILTER('Current Cycle Tracker'!$N$2:$N$200,('Current Cycle Tracker'!$B$2:$B$200="Person 1")*('Current Cycle Tracker'!$P$2:$P$200="Yes")),ROWS($A$6:A72)),"")</x:f>
      </x:c>
      <x:c r="L72" t="str">
        <x:f>IFERROR(INDEX(FILTER('Current Cycle Tracker'!$Q$2:$Q$200,('Current Cycle Tracker'!$B$2:$B$200="Person 1")*('Current Cycle Tracker'!$P$2:$P$200="Yes")),ROWS($A$6:A72)),"")</x:f>
      </x:c>
    </x:row>
    <x:row r="73">
      <x:c r="A73" t="str">
        <x:f>IFERROR(INDEX(FILTER('Current Cycle Tracker'!$C$2:$C$200,('Current Cycle Tracker'!$B$2:$B$200="Person 1")*('Current Cycle Tracker'!$P$2:$P$200="Yes")),ROWS($A$6:A73)),"")</x:f>
      </x:c>
      <x:c r="B73" t="str">
        <x:f>IFERROR(INDEX(FILTER('Current Cycle Tracker'!$D$2:$D$200,('Current Cycle Tracker'!$B$2:$B$200="Person 1")*('Current Cycle Tracker'!$P$2:$P$200="Yes")),ROWS($A$6:A73)),"")</x:f>
      </x:c>
      <x:c r="C73" t="str">
        <x:f>IFERROR(INDEX(FILTER('Current Cycle Tracker'!$G$2:$G$200,('Current Cycle Tracker'!$B$2:$B$200="Person 1")*('Current Cycle Tracker'!$P$2:$P$200="Yes")),ROWS($A$6:A73)),"")</x:f>
      </x:c>
      <x:c r="D73" t="str">
        <x:f>IFERROR(INDEX(FILTER('Current Cycle Tracker'!$H$2:$H$200,('Current Cycle Tracker'!$B$2:$B$200="Person 1")*('Current Cycle Tracker'!$P$2:$P$200="Yes")),ROWS($A$6:A73)),"")</x:f>
      </x:c>
      <x:c r="E73" t="str">
        <x:f>IFERROR(INDEX(FILTER('Current Cycle Tracker'!$I$2:$I$200,('Current Cycle Tracker'!$B$2:$B$200="Person 1")*('Current Cycle Tracker'!$P$2:$P$200="Yes")),ROWS($A$6:A73)),"")</x:f>
      </x:c>
      <x:c r="F73" t="str">
        <x:f>IFERROR(INDEX(FILTER('Current Cycle Tracker'!$J$2:$J$200,('Current Cycle Tracker'!$B$2:$B$200="Person 1")*('Current Cycle Tracker'!$P$2:$P$200="Yes")),ROWS($A$6:A73)),"")</x:f>
      </x:c>
      <x:c r="G73" t="str">
        <x:f>IFERROR(INDEX(FILTER('Current Cycle Tracker'!$K$2:$K$200,('Current Cycle Tracker'!$B$2:$B$200="Person 1")*('Current Cycle Tracker'!$P$2:$P$200="Yes")),ROWS($A$6:A73)),"")</x:f>
      </x:c>
      <x:c r="H73" t="str">
        <x:f>IFERROR(INDEX(FILTER('Current Cycle Tracker'!$L$2:$L$200,('Current Cycle Tracker'!$B$2:$B$200="Person 1")*('Current Cycle Tracker'!$P$2:$P$200="Yes")),ROWS($A$6:A73)),"")</x:f>
      </x:c>
      <x:c r="I73" t="str">
        <x:f>IF(H73="","",IF(H73&gt;=1,"✅","☐"))</x:f>
      </x:c>
      <x:c r="J73" t="str">
        <x:f>IFERROR(INDEX(FILTER('Current Cycle Tracker'!$M$2:$M$200,('Current Cycle Tracker'!$B$2:$B$200="Person 1")*('Current Cycle Tracker'!$P$2:$P$200="Yes")),ROWS($A$6:A73)),"")</x:f>
      </x:c>
      <x:c r="K73" t="str">
        <x:f>IFERROR(INDEX(FILTER('Current Cycle Tracker'!$N$2:$N$200,('Current Cycle Tracker'!$B$2:$B$200="Person 1")*('Current Cycle Tracker'!$P$2:$P$200="Yes")),ROWS($A$6:A73)),"")</x:f>
      </x:c>
      <x:c r="L73" t="str">
        <x:f>IFERROR(INDEX(FILTER('Current Cycle Tracker'!$Q$2:$Q$200,('Current Cycle Tracker'!$B$2:$B$200="Person 1")*('Current Cycle Tracker'!$P$2:$P$200="Yes")),ROWS($A$6:A73)),"")</x:f>
      </x:c>
    </x:row>
    <x:row r="74">
      <x:c r="A74" t="str">
        <x:f>IFERROR(INDEX(FILTER('Current Cycle Tracker'!$C$2:$C$200,('Current Cycle Tracker'!$B$2:$B$200="Person 1")*('Current Cycle Tracker'!$P$2:$P$200="Yes")),ROWS($A$6:A74)),"")</x:f>
      </x:c>
      <x:c r="B74" t="str">
        <x:f>IFERROR(INDEX(FILTER('Current Cycle Tracker'!$D$2:$D$200,('Current Cycle Tracker'!$B$2:$B$200="Person 1")*('Current Cycle Tracker'!$P$2:$P$200="Yes")),ROWS($A$6:A74)),"")</x:f>
      </x:c>
      <x:c r="C74" t="str">
        <x:f>IFERROR(INDEX(FILTER('Current Cycle Tracker'!$G$2:$G$200,('Current Cycle Tracker'!$B$2:$B$200="Person 1")*('Current Cycle Tracker'!$P$2:$P$200="Yes")),ROWS($A$6:A74)),"")</x:f>
      </x:c>
      <x:c r="D74" t="str">
        <x:f>IFERROR(INDEX(FILTER('Current Cycle Tracker'!$H$2:$H$200,('Current Cycle Tracker'!$B$2:$B$200="Person 1")*('Current Cycle Tracker'!$P$2:$P$200="Yes")),ROWS($A$6:A74)),"")</x:f>
      </x:c>
      <x:c r="E74" t="str">
        <x:f>IFERROR(INDEX(FILTER('Current Cycle Tracker'!$I$2:$I$200,('Current Cycle Tracker'!$B$2:$B$200="Person 1")*('Current Cycle Tracker'!$P$2:$P$200="Yes")),ROWS($A$6:A74)),"")</x:f>
      </x:c>
      <x:c r="F74" t="str">
        <x:f>IFERROR(INDEX(FILTER('Current Cycle Tracker'!$J$2:$J$200,('Current Cycle Tracker'!$B$2:$B$200="Person 1")*('Current Cycle Tracker'!$P$2:$P$200="Yes")),ROWS($A$6:A74)),"")</x:f>
      </x:c>
      <x:c r="G74" t="str">
        <x:f>IFERROR(INDEX(FILTER('Current Cycle Tracker'!$K$2:$K$200,('Current Cycle Tracker'!$B$2:$B$200="Person 1")*('Current Cycle Tracker'!$P$2:$P$200="Yes")),ROWS($A$6:A74)),"")</x:f>
      </x:c>
      <x:c r="H74" t="str">
        <x:f>IFERROR(INDEX(FILTER('Current Cycle Tracker'!$L$2:$L$200,('Current Cycle Tracker'!$B$2:$B$200="Person 1")*('Current Cycle Tracker'!$P$2:$P$200="Yes")),ROWS($A$6:A74)),"")</x:f>
      </x:c>
      <x:c r="I74" t="str">
        <x:f>IF(H74="","",IF(H74&gt;=1,"✅","☐"))</x:f>
      </x:c>
      <x:c r="J74" t="str">
        <x:f>IFERROR(INDEX(FILTER('Current Cycle Tracker'!$M$2:$M$200,('Current Cycle Tracker'!$B$2:$B$200="Person 1")*('Current Cycle Tracker'!$P$2:$P$200="Yes")),ROWS($A$6:A74)),"")</x:f>
      </x:c>
      <x:c r="K74" t="str">
        <x:f>IFERROR(INDEX(FILTER('Current Cycle Tracker'!$N$2:$N$200,('Current Cycle Tracker'!$B$2:$B$200="Person 1")*('Current Cycle Tracker'!$P$2:$P$200="Yes")),ROWS($A$6:A74)),"")</x:f>
      </x:c>
      <x:c r="L74" t="str">
        <x:f>IFERROR(INDEX(FILTER('Current Cycle Tracker'!$Q$2:$Q$200,('Current Cycle Tracker'!$B$2:$B$200="Person 1")*('Current Cycle Tracker'!$P$2:$P$200="Yes")),ROWS($A$6:A74)),"")</x:f>
      </x:c>
    </x:row>
    <x:row r="75">
      <x:c r="A75" t="str">
        <x:f>IFERROR(INDEX(FILTER('Current Cycle Tracker'!$C$2:$C$200,('Current Cycle Tracker'!$B$2:$B$200="Person 1")*('Current Cycle Tracker'!$P$2:$P$200="Yes")),ROWS($A$6:A75)),"")</x:f>
      </x:c>
      <x:c r="B75" t="str">
        <x:f>IFERROR(INDEX(FILTER('Current Cycle Tracker'!$D$2:$D$200,('Current Cycle Tracker'!$B$2:$B$200="Person 1")*('Current Cycle Tracker'!$P$2:$P$200="Yes")),ROWS($A$6:A75)),"")</x:f>
      </x:c>
      <x:c r="C75" t="str">
        <x:f>IFERROR(INDEX(FILTER('Current Cycle Tracker'!$G$2:$G$200,('Current Cycle Tracker'!$B$2:$B$200="Person 1")*('Current Cycle Tracker'!$P$2:$P$200="Yes")),ROWS($A$6:A75)),"")</x:f>
      </x:c>
      <x:c r="D75" t="str">
        <x:f>IFERROR(INDEX(FILTER('Current Cycle Tracker'!$H$2:$H$200,('Current Cycle Tracker'!$B$2:$B$200="Person 1")*('Current Cycle Tracker'!$P$2:$P$200="Yes")),ROWS($A$6:A75)),"")</x:f>
      </x:c>
      <x:c r="E75" t="str">
        <x:f>IFERROR(INDEX(FILTER('Current Cycle Tracker'!$I$2:$I$200,('Current Cycle Tracker'!$B$2:$B$200="Person 1")*('Current Cycle Tracker'!$P$2:$P$200="Yes")),ROWS($A$6:A75)),"")</x:f>
      </x:c>
      <x:c r="F75" t="str">
        <x:f>IFERROR(INDEX(FILTER('Current Cycle Tracker'!$J$2:$J$200,('Current Cycle Tracker'!$B$2:$B$200="Person 1")*('Current Cycle Tracker'!$P$2:$P$200="Yes")),ROWS($A$6:A75)),"")</x:f>
      </x:c>
      <x:c r="G75" t="str">
        <x:f>IFERROR(INDEX(FILTER('Current Cycle Tracker'!$K$2:$K$200,('Current Cycle Tracker'!$B$2:$B$200="Person 1")*('Current Cycle Tracker'!$P$2:$P$200="Yes")),ROWS($A$6:A75)),"")</x:f>
      </x:c>
      <x:c r="H75" t="str">
        <x:f>IFERROR(INDEX(FILTER('Current Cycle Tracker'!$L$2:$L$200,('Current Cycle Tracker'!$B$2:$B$200="Person 1")*('Current Cycle Tracker'!$P$2:$P$200="Yes")),ROWS($A$6:A75)),"")</x:f>
      </x:c>
      <x:c r="I75" t="str">
        <x:f>IF(H75="","",IF(H75&gt;=1,"✅","☐"))</x:f>
      </x:c>
      <x:c r="J75" t="str">
        <x:f>IFERROR(INDEX(FILTER('Current Cycle Tracker'!$M$2:$M$200,('Current Cycle Tracker'!$B$2:$B$200="Person 1")*('Current Cycle Tracker'!$P$2:$P$200="Yes")),ROWS($A$6:A75)),"")</x:f>
      </x:c>
      <x:c r="K75" t="str">
        <x:f>IFERROR(INDEX(FILTER('Current Cycle Tracker'!$N$2:$N$200,('Current Cycle Tracker'!$B$2:$B$200="Person 1")*('Current Cycle Tracker'!$P$2:$P$200="Yes")),ROWS($A$6:A75)),"")</x:f>
      </x:c>
      <x:c r="L75" t="str">
        <x:f>IFERROR(INDEX(FILTER('Current Cycle Tracker'!$Q$2:$Q$200,('Current Cycle Tracker'!$B$2:$B$200="Person 1")*('Current Cycle Tracker'!$P$2:$P$200="Yes")),ROWS($A$6:A75)),"")</x:f>
      </x:c>
    </x:row>
    <x:row r="76">
      <x:c r="A76" t="str">
        <x:f>IFERROR(INDEX(FILTER('Current Cycle Tracker'!$C$2:$C$200,('Current Cycle Tracker'!$B$2:$B$200="Person 1")*('Current Cycle Tracker'!$P$2:$P$200="Yes")),ROWS($A$6:A76)),"")</x:f>
      </x:c>
      <x:c r="B76" t="str">
        <x:f>IFERROR(INDEX(FILTER('Current Cycle Tracker'!$D$2:$D$200,('Current Cycle Tracker'!$B$2:$B$200="Person 1")*('Current Cycle Tracker'!$P$2:$P$200="Yes")),ROWS($A$6:A76)),"")</x:f>
      </x:c>
      <x:c r="C76" t="str">
        <x:f>IFERROR(INDEX(FILTER('Current Cycle Tracker'!$G$2:$G$200,('Current Cycle Tracker'!$B$2:$B$200="Person 1")*('Current Cycle Tracker'!$P$2:$P$200="Yes")),ROWS($A$6:A76)),"")</x:f>
      </x:c>
      <x:c r="D76" t="str">
        <x:f>IFERROR(INDEX(FILTER('Current Cycle Tracker'!$H$2:$H$200,('Current Cycle Tracker'!$B$2:$B$200="Person 1")*('Current Cycle Tracker'!$P$2:$P$200="Yes")),ROWS($A$6:A76)),"")</x:f>
      </x:c>
      <x:c r="E76" t="str">
        <x:f>IFERROR(INDEX(FILTER('Current Cycle Tracker'!$I$2:$I$200,('Current Cycle Tracker'!$B$2:$B$200="Person 1")*('Current Cycle Tracker'!$P$2:$P$200="Yes")),ROWS($A$6:A76)),"")</x:f>
      </x:c>
      <x:c r="F76" t="str">
        <x:f>IFERROR(INDEX(FILTER('Current Cycle Tracker'!$J$2:$J$200,('Current Cycle Tracker'!$B$2:$B$200="Person 1")*('Current Cycle Tracker'!$P$2:$P$200="Yes")),ROWS($A$6:A76)),"")</x:f>
      </x:c>
      <x:c r="G76" t="str">
        <x:f>IFERROR(INDEX(FILTER('Current Cycle Tracker'!$K$2:$K$200,('Current Cycle Tracker'!$B$2:$B$200="Person 1")*('Current Cycle Tracker'!$P$2:$P$200="Yes")),ROWS($A$6:A76)),"")</x:f>
      </x:c>
      <x:c r="H76" t="str">
        <x:f>IFERROR(INDEX(FILTER('Current Cycle Tracker'!$L$2:$L$200,('Current Cycle Tracker'!$B$2:$B$200="Person 1")*('Current Cycle Tracker'!$P$2:$P$200="Yes")),ROWS($A$6:A76)),"")</x:f>
      </x:c>
      <x:c r="I76" t="str">
        <x:f>IF(H76="","",IF(H76&gt;=1,"✅","☐"))</x:f>
      </x:c>
      <x:c r="J76" t="str">
        <x:f>IFERROR(INDEX(FILTER('Current Cycle Tracker'!$M$2:$M$200,('Current Cycle Tracker'!$B$2:$B$200="Person 1")*('Current Cycle Tracker'!$P$2:$P$200="Yes")),ROWS($A$6:A76)),"")</x:f>
      </x:c>
      <x:c r="K76" t="str">
        <x:f>IFERROR(INDEX(FILTER('Current Cycle Tracker'!$N$2:$N$200,('Current Cycle Tracker'!$B$2:$B$200="Person 1")*('Current Cycle Tracker'!$P$2:$P$200="Yes")),ROWS($A$6:A76)),"")</x:f>
      </x:c>
      <x:c r="L76" t="str">
        <x:f>IFERROR(INDEX(FILTER('Current Cycle Tracker'!$Q$2:$Q$200,('Current Cycle Tracker'!$B$2:$B$200="Person 1")*('Current Cycle Tracker'!$P$2:$P$200="Yes")),ROWS($A$6:A76)),"")</x:f>
      </x:c>
    </x:row>
    <x:row r="77">
      <x:c r="A77" t="str">
        <x:f>IFERROR(INDEX(FILTER('Current Cycle Tracker'!$C$2:$C$200,('Current Cycle Tracker'!$B$2:$B$200="Person 1")*('Current Cycle Tracker'!$P$2:$P$200="Yes")),ROWS($A$6:A77)),"")</x:f>
      </x:c>
      <x:c r="B77" t="str">
        <x:f>IFERROR(INDEX(FILTER('Current Cycle Tracker'!$D$2:$D$200,('Current Cycle Tracker'!$B$2:$B$200="Person 1")*('Current Cycle Tracker'!$P$2:$P$200="Yes")),ROWS($A$6:A77)),"")</x:f>
      </x:c>
      <x:c r="C77" t="str">
        <x:f>IFERROR(INDEX(FILTER('Current Cycle Tracker'!$G$2:$G$200,('Current Cycle Tracker'!$B$2:$B$200="Person 1")*('Current Cycle Tracker'!$P$2:$P$200="Yes")),ROWS($A$6:A77)),"")</x:f>
      </x:c>
      <x:c r="D77" t="str">
        <x:f>IFERROR(INDEX(FILTER('Current Cycle Tracker'!$H$2:$H$200,('Current Cycle Tracker'!$B$2:$B$200="Person 1")*('Current Cycle Tracker'!$P$2:$P$200="Yes")),ROWS($A$6:A77)),"")</x:f>
      </x:c>
      <x:c r="E77" t="str">
        <x:f>IFERROR(INDEX(FILTER('Current Cycle Tracker'!$I$2:$I$200,('Current Cycle Tracker'!$B$2:$B$200="Person 1")*('Current Cycle Tracker'!$P$2:$P$200="Yes")),ROWS($A$6:A77)),"")</x:f>
      </x:c>
      <x:c r="F77" t="str">
        <x:f>IFERROR(INDEX(FILTER('Current Cycle Tracker'!$J$2:$J$200,('Current Cycle Tracker'!$B$2:$B$200="Person 1")*('Current Cycle Tracker'!$P$2:$P$200="Yes")),ROWS($A$6:A77)),"")</x:f>
      </x:c>
      <x:c r="G77" t="str">
        <x:f>IFERROR(INDEX(FILTER('Current Cycle Tracker'!$K$2:$K$200,('Current Cycle Tracker'!$B$2:$B$200="Person 1")*('Current Cycle Tracker'!$P$2:$P$200="Yes")),ROWS($A$6:A77)),"")</x:f>
      </x:c>
      <x:c r="H77" t="str">
        <x:f>IFERROR(INDEX(FILTER('Current Cycle Tracker'!$L$2:$L$200,('Current Cycle Tracker'!$B$2:$B$200="Person 1")*('Current Cycle Tracker'!$P$2:$P$200="Yes")),ROWS($A$6:A77)),"")</x:f>
      </x:c>
      <x:c r="I77" t="str">
        <x:f>IF(H77="","",IF(H77&gt;=1,"✅","☐"))</x:f>
      </x:c>
      <x:c r="J77" t="str">
        <x:f>IFERROR(INDEX(FILTER('Current Cycle Tracker'!$M$2:$M$200,('Current Cycle Tracker'!$B$2:$B$200="Person 1")*('Current Cycle Tracker'!$P$2:$P$200="Yes")),ROWS($A$6:A77)),"")</x:f>
      </x:c>
      <x:c r="K77" t="str">
        <x:f>IFERROR(INDEX(FILTER('Current Cycle Tracker'!$N$2:$N$200,('Current Cycle Tracker'!$B$2:$B$200="Person 1")*('Current Cycle Tracker'!$P$2:$P$200="Yes")),ROWS($A$6:A77)),"")</x:f>
      </x:c>
      <x:c r="L77" t="str">
        <x:f>IFERROR(INDEX(FILTER('Current Cycle Tracker'!$Q$2:$Q$200,('Current Cycle Tracker'!$B$2:$B$200="Person 1")*('Current Cycle Tracker'!$P$2:$P$200="Yes")),ROWS($A$6:A77)),"")</x:f>
      </x:c>
    </x:row>
    <x:row r="78">
      <x:c r="A78" t="str">
        <x:f>IFERROR(INDEX(FILTER('Current Cycle Tracker'!$C$2:$C$200,('Current Cycle Tracker'!$B$2:$B$200="Person 1")*('Current Cycle Tracker'!$P$2:$P$200="Yes")),ROWS($A$6:A78)),"")</x:f>
      </x:c>
      <x:c r="B78" t="str">
        <x:f>IFERROR(INDEX(FILTER('Current Cycle Tracker'!$D$2:$D$200,('Current Cycle Tracker'!$B$2:$B$200="Person 1")*('Current Cycle Tracker'!$P$2:$P$200="Yes")),ROWS($A$6:A78)),"")</x:f>
      </x:c>
      <x:c r="C78" t="str">
        <x:f>IFERROR(INDEX(FILTER('Current Cycle Tracker'!$G$2:$G$200,('Current Cycle Tracker'!$B$2:$B$200="Person 1")*('Current Cycle Tracker'!$P$2:$P$200="Yes")),ROWS($A$6:A78)),"")</x:f>
      </x:c>
      <x:c r="D78" t="str">
        <x:f>IFERROR(INDEX(FILTER('Current Cycle Tracker'!$H$2:$H$200,('Current Cycle Tracker'!$B$2:$B$200="Person 1")*('Current Cycle Tracker'!$P$2:$P$200="Yes")),ROWS($A$6:A78)),"")</x:f>
      </x:c>
      <x:c r="E78" t="str">
        <x:f>IFERROR(INDEX(FILTER('Current Cycle Tracker'!$I$2:$I$200,('Current Cycle Tracker'!$B$2:$B$200="Person 1")*('Current Cycle Tracker'!$P$2:$P$200="Yes")),ROWS($A$6:A78)),"")</x:f>
      </x:c>
      <x:c r="F78" t="str">
        <x:f>IFERROR(INDEX(FILTER('Current Cycle Tracker'!$J$2:$J$200,('Current Cycle Tracker'!$B$2:$B$200="Person 1")*('Current Cycle Tracker'!$P$2:$P$200="Yes")),ROWS($A$6:A78)),"")</x:f>
      </x:c>
      <x:c r="G78" t="str">
        <x:f>IFERROR(INDEX(FILTER('Current Cycle Tracker'!$K$2:$K$200,('Current Cycle Tracker'!$B$2:$B$200="Person 1")*('Current Cycle Tracker'!$P$2:$P$200="Yes")),ROWS($A$6:A78)),"")</x:f>
      </x:c>
      <x:c r="H78" t="str">
        <x:f>IFERROR(INDEX(FILTER('Current Cycle Tracker'!$L$2:$L$200,('Current Cycle Tracker'!$B$2:$B$200="Person 1")*('Current Cycle Tracker'!$P$2:$P$200="Yes")),ROWS($A$6:A78)),"")</x:f>
      </x:c>
      <x:c r="I78" t="str">
        <x:f>IF(H78="","",IF(H78&gt;=1,"✅","☐"))</x:f>
      </x:c>
      <x:c r="J78" t="str">
        <x:f>IFERROR(INDEX(FILTER('Current Cycle Tracker'!$M$2:$M$200,('Current Cycle Tracker'!$B$2:$B$200="Person 1")*('Current Cycle Tracker'!$P$2:$P$200="Yes")),ROWS($A$6:A78)),"")</x:f>
      </x:c>
      <x:c r="K78" t="str">
        <x:f>IFERROR(INDEX(FILTER('Current Cycle Tracker'!$N$2:$N$200,('Current Cycle Tracker'!$B$2:$B$200="Person 1")*('Current Cycle Tracker'!$P$2:$P$200="Yes")),ROWS($A$6:A78)),"")</x:f>
      </x:c>
      <x:c r="L78" t="str">
        <x:f>IFERROR(INDEX(FILTER('Current Cycle Tracker'!$Q$2:$Q$200,('Current Cycle Tracker'!$B$2:$B$200="Person 1")*('Current Cycle Tracker'!$P$2:$P$200="Yes")),ROWS($A$6:A78)),"")</x:f>
      </x:c>
    </x:row>
    <x:row r="79">
      <x:c r="A79" t="str">
        <x:f>IFERROR(INDEX(FILTER('Current Cycle Tracker'!$C$2:$C$200,('Current Cycle Tracker'!$B$2:$B$200="Person 1")*('Current Cycle Tracker'!$P$2:$P$200="Yes")),ROWS($A$6:A79)),"")</x:f>
      </x:c>
      <x:c r="B79" t="str">
        <x:f>IFERROR(INDEX(FILTER('Current Cycle Tracker'!$D$2:$D$200,('Current Cycle Tracker'!$B$2:$B$200="Person 1")*('Current Cycle Tracker'!$P$2:$P$200="Yes")),ROWS($A$6:A79)),"")</x:f>
      </x:c>
      <x:c r="C79" t="str">
        <x:f>IFERROR(INDEX(FILTER('Current Cycle Tracker'!$G$2:$G$200,('Current Cycle Tracker'!$B$2:$B$200="Person 1")*('Current Cycle Tracker'!$P$2:$P$200="Yes")),ROWS($A$6:A79)),"")</x:f>
      </x:c>
      <x:c r="D79" t="str">
        <x:f>IFERROR(INDEX(FILTER('Current Cycle Tracker'!$H$2:$H$200,('Current Cycle Tracker'!$B$2:$B$200="Person 1")*('Current Cycle Tracker'!$P$2:$P$200="Yes")),ROWS($A$6:A79)),"")</x:f>
      </x:c>
      <x:c r="E79" t="str">
        <x:f>IFERROR(INDEX(FILTER('Current Cycle Tracker'!$I$2:$I$200,('Current Cycle Tracker'!$B$2:$B$200="Person 1")*('Current Cycle Tracker'!$P$2:$P$200="Yes")),ROWS($A$6:A79)),"")</x:f>
      </x:c>
      <x:c r="F79" t="str">
        <x:f>IFERROR(INDEX(FILTER('Current Cycle Tracker'!$J$2:$J$200,('Current Cycle Tracker'!$B$2:$B$200="Person 1")*('Current Cycle Tracker'!$P$2:$P$200="Yes")),ROWS($A$6:A79)),"")</x:f>
      </x:c>
      <x:c r="G79" t="str">
        <x:f>IFERROR(INDEX(FILTER('Current Cycle Tracker'!$K$2:$K$200,('Current Cycle Tracker'!$B$2:$B$200="Person 1")*('Current Cycle Tracker'!$P$2:$P$200="Yes")),ROWS($A$6:A79)),"")</x:f>
      </x:c>
      <x:c r="H79" t="str">
        <x:f>IFERROR(INDEX(FILTER('Current Cycle Tracker'!$L$2:$L$200,('Current Cycle Tracker'!$B$2:$B$200="Person 1")*('Current Cycle Tracker'!$P$2:$P$200="Yes")),ROWS($A$6:A79)),"")</x:f>
      </x:c>
      <x:c r="I79" t="str">
        <x:f>IF(H79="","",IF(H79&gt;=1,"✅","☐"))</x:f>
      </x:c>
      <x:c r="J79" t="str">
        <x:f>IFERROR(INDEX(FILTER('Current Cycle Tracker'!$M$2:$M$200,('Current Cycle Tracker'!$B$2:$B$200="Person 1")*('Current Cycle Tracker'!$P$2:$P$200="Yes")),ROWS($A$6:A79)),"")</x:f>
      </x:c>
      <x:c r="K79" t="str">
        <x:f>IFERROR(INDEX(FILTER('Current Cycle Tracker'!$N$2:$N$200,('Current Cycle Tracker'!$B$2:$B$200="Person 1")*('Current Cycle Tracker'!$P$2:$P$200="Yes")),ROWS($A$6:A79)),"")</x:f>
      </x:c>
      <x:c r="L79" t="str">
        <x:f>IFERROR(INDEX(FILTER('Current Cycle Tracker'!$Q$2:$Q$200,('Current Cycle Tracker'!$B$2:$B$200="Person 1")*('Current Cycle Tracker'!$P$2:$P$200="Yes")),ROWS($A$6:A79)),"")</x:f>
      </x:c>
    </x:row>
    <x:row r="80">
      <x:c r="A80" t="str">
        <x:f>IFERROR(INDEX(FILTER('Current Cycle Tracker'!$C$2:$C$200,('Current Cycle Tracker'!$B$2:$B$200="Person 1")*('Current Cycle Tracker'!$P$2:$P$200="Yes")),ROWS($A$6:A80)),"")</x:f>
      </x:c>
      <x:c r="B80" t="str">
        <x:f>IFERROR(INDEX(FILTER('Current Cycle Tracker'!$D$2:$D$200,('Current Cycle Tracker'!$B$2:$B$200="Person 1")*('Current Cycle Tracker'!$P$2:$P$200="Yes")),ROWS($A$6:A80)),"")</x:f>
      </x:c>
      <x:c r="C80" t="str">
        <x:f>IFERROR(INDEX(FILTER('Current Cycle Tracker'!$G$2:$G$200,('Current Cycle Tracker'!$B$2:$B$200="Person 1")*('Current Cycle Tracker'!$P$2:$P$200="Yes")),ROWS($A$6:A80)),"")</x:f>
      </x:c>
      <x:c r="D80" t="str">
        <x:f>IFERROR(INDEX(FILTER('Current Cycle Tracker'!$H$2:$H$200,('Current Cycle Tracker'!$B$2:$B$200="Person 1")*('Current Cycle Tracker'!$P$2:$P$200="Yes")),ROWS($A$6:A80)),"")</x:f>
      </x:c>
      <x:c r="E80" t="str">
        <x:f>IFERROR(INDEX(FILTER('Current Cycle Tracker'!$I$2:$I$200,('Current Cycle Tracker'!$B$2:$B$200="Person 1")*('Current Cycle Tracker'!$P$2:$P$200="Yes")),ROWS($A$6:A80)),"")</x:f>
      </x:c>
      <x:c r="F80" t="str">
        <x:f>IFERROR(INDEX(FILTER('Current Cycle Tracker'!$J$2:$J$200,('Current Cycle Tracker'!$B$2:$B$200="Person 1")*('Current Cycle Tracker'!$P$2:$P$200="Yes")),ROWS($A$6:A80)),"")</x:f>
      </x:c>
      <x:c r="G80" t="str">
        <x:f>IFERROR(INDEX(FILTER('Current Cycle Tracker'!$K$2:$K$200,('Current Cycle Tracker'!$B$2:$B$200="Person 1")*('Current Cycle Tracker'!$P$2:$P$200="Yes")),ROWS($A$6:A80)),"")</x:f>
      </x:c>
      <x:c r="H80" t="str">
        <x:f>IFERROR(INDEX(FILTER('Current Cycle Tracker'!$L$2:$L$200,('Current Cycle Tracker'!$B$2:$B$200="Person 1")*('Current Cycle Tracker'!$P$2:$P$200="Yes")),ROWS($A$6:A80)),"")</x:f>
      </x:c>
      <x:c r="I80" t="str">
        <x:f>IF(H80="","",IF(H80&gt;=1,"✅","☐"))</x:f>
      </x:c>
      <x:c r="J80" t="str">
        <x:f>IFERROR(INDEX(FILTER('Current Cycle Tracker'!$M$2:$M$200,('Current Cycle Tracker'!$B$2:$B$200="Person 1")*('Current Cycle Tracker'!$P$2:$P$200="Yes")),ROWS($A$6:A80)),"")</x:f>
      </x:c>
      <x:c r="K80" t="str">
        <x:f>IFERROR(INDEX(FILTER('Current Cycle Tracker'!$N$2:$N$200,('Current Cycle Tracker'!$B$2:$B$200="Person 1")*('Current Cycle Tracker'!$P$2:$P$200="Yes")),ROWS($A$6:A80)),"")</x:f>
      </x:c>
      <x:c r="L80" t="str">
        <x:f>IFERROR(INDEX(FILTER('Current Cycle Tracker'!$Q$2:$Q$200,('Current Cycle Tracker'!$B$2:$B$200="Person 1")*('Current Cycle Tracker'!$P$2:$P$200="Yes")),ROWS($A$6:A80)),"")</x:f>
      </x:c>
    </x:row>
    <x:row r="81">
      <x:c r="A81" t="str">
        <x:f>IFERROR(INDEX(FILTER('Current Cycle Tracker'!$C$2:$C$200,('Current Cycle Tracker'!$B$2:$B$200="Person 1")*('Current Cycle Tracker'!$P$2:$P$200="Yes")),ROWS($A$6:A81)),"")</x:f>
      </x:c>
      <x:c r="B81" t="str">
        <x:f>IFERROR(INDEX(FILTER('Current Cycle Tracker'!$D$2:$D$200,('Current Cycle Tracker'!$B$2:$B$200="Person 1")*('Current Cycle Tracker'!$P$2:$P$200="Yes")),ROWS($A$6:A81)),"")</x:f>
      </x:c>
      <x:c r="C81" t="str">
        <x:f>IFERROR(INDEX(FILTER('Current Cycle Tracker'!$G$2:$G$200,('Current Cycle Tracker'!$B$2:$B$200="Person 1")*('Current Cycle Tracker'!$P$2:$P$200="Yes")),ROWS($A$6:A81)),"")</x:f>
      </x:c>
      <x:c r="D81" t="str">
        <x:f>IFERROR(INDEX(FILTER('Current Cycle Tracker'!$H$2:$H$200,('Current Cycle Tracker'!$B$2:$B$200="Person 1")*('Current Cycle Tracker'!$P$2:$P$200="Yes")),ROWS($A$6:A81)),"")</x:f>
      </x:c>
      <x:c r="E81" t="str">
        <x:f>IFERROR(INDEX(FILTER('Current Cycle Tracker'!$I$2:$I$200,('Current Cycle Tracker'!$B$2:$B$200="Person 1")*('Current Cycle Tracker'!$P$2:$P$200="Yes")),ROWS($A$6:A81)),"")</x:f>
      </x:c>
      <x:c r="F81" t="str">
        <x:f>IFERROR(INDEX(FILTER('Current Cycle Tracker'!$J$2:$J$200,('Current Cycle Tracker'!$B$2:$B$200="Person 1")*('Current Cycle Tracker'!$P$2:$P$200="Yes")),ROWS($A$6:A81)),"")</x:f>
      </x:c>
      <x:c r="G81" t="str">
        <x:f>IFERROR(INDEX(FILTER('Current Cycle Tracker'!$K$2:$K$200,('Current Cycle Tracker'!$B$2:$B$200="Person 1")*('Current Cycle Tracker'!$P$2:$P$200="Yes")),ROWS($A$6:A81)),"")</x:f>
      </x:c>
      <x:c r="H81" t="str">
        <x:f>IFERROR(INDEX(FILTER('Current Cycle Tracker'!$L$2:$L$200,('Current Cycle Tracker'!$B$2:$B$200="Person 1")*('Current Cycle Tracker'!$P$2:$P$200="Yes")),ROWS($A$6:A81)),"")</x:f>
      </x:c>
      <x:c r="I81" t="str">
        <x:f>IF(H81="","",IF(H81&gt;=1,"✅","☐"))</x:f>
      </x:c>
      <x:c r="J81" t="str">
        <x:f>IFERROR(INDEX(FILTER('Current Cycle Tracker'!$M$2:$M$200,('Current Cycle Tracker'!$B$2:$B$200="Person 1")*('Current Cycle Tracker'!$P$2:$P$200="Yes")),ROWS($A$6:A81)),"")</x:f>
      </x:c>
      <x:c r="K81" t="str">
        <x:f>IFERROR(INDEX(FILTER('Current Cycle Tracker'!$N$2:$N$200,('Current Cycle Tracker'!$B$2:$B$200="Person 1")*('Current Cycle Tracker'!$P$2:$P$200="Yes")),ROWS($A$6:A81)),"")</x:f>
      </x:c>
      <x:c r="L81" t="str">
        <x:f>IFERROR(INDEX(FILTER('Current Cycle Tracker'!$Q$2:$Q$200,('Current Cycle Tracker'!$B$2:$B$200="Person 1")*('Current Cycle Tracker'!$P$2:$P$200="Yes")),ROWS($A$6:A81)),"")</x:f>
      </x:c>
    </x:row>
    <x:row r="82">
      <x:c r="A82" t="str">
        <x:f>IFERROR(INDEX(FILTER('Current Cycle Tracker'!$C$2:$C$200,('Current Cycle Tracker'!$B$2:$B$200="Person 1")*('Current Cycle Tracker'!$P$2:$P$200="Yes")),ROWS($A$6:A82)),"")</x:f>
      </x:c>
      <x:c r="B82" t="str">
        <x:f>IFERROR(INDEX(FILTER('Current Cycle Tracker'!$D$2:$D$200,('Current Cycle Tracker'!$B$2:$B$200="Person 1")*('Current Cycle Tracker'!$P$2:$P$200="Yes")),ROWS($A$6:A82)),"")</x:f>
      </x:c>
      <x:c r="C82" t="str">
        <x:f>IFERROR(INDEX(FILTER('Current Cycle Tracker'!$G$2:$G$200,('Current Cycle Tracker'!$B$2:$B$200="Person 1")*('Current Cycle Tracker'!$P$2:$P$200="Yes")),ROWS($A$6:A82)),"")</x:f>
      </x:c>
      <x:c r="D82" t="str">
        <x:f>IFERROR(INDEX(FILTER('Current Cycle Tracker'!$H$2:$H$200,('Current Cycle Tracker'!$B$2:$B$200="Person 1")*('Current Cycle Tracker'!$P$2:$P$200="Yes")),ROWS($A$6:A82)),"")</x:f>
      </x:c>
      <x:c r="E82" t="str">
        <x:f>IFERROR(INDEX(FILTER('Current Cycle Tracker'!$I$2:$I$200,('Current Cycle Tracker'!$B$2:$B$200="Person 1")*('Current Cycle Tracker'!$P$2:$P$200="Yes")),ROWS($A$6:A82)),"")</x:f>
      </x:c>
      <x:c r="F82" t="str">
        <x:f>IFERROR(INDEX(FILTER('Current Cycle Tracker'!$J$2:$J$200,('Current Cycle Tracker'!$B$2:$B$200="Person 1")*('Current Cycle Tracker'!$P$2:$P$200="Yes")),ROWS($A$6:A82)),"")</x:f>
      </x:c>
      <x:c r="G82" t="str">
        <x:f>IFERROR(INDEX(FILTER('Current Cycle Tracker'!$K$2:$K$200,('Current Cycle Tracker'!$B$2:$B$200="Person 1")*('Current Cycle Tracker'!$P$2:$P$200="Yes")),ROWS($A$6:A82)),"")</x:f>
      </x:c>
      <x:c r="H82" t="str">
        <x:f>IFERROR(INDEX(FILTER('Current Cycle Tracker'!$L$2:$L$200,('Current Cycle Tracker'!$B$2:$B$200="Person 1")*('Current Cycle Tracker'!$P$2:$P$200="Yes")),ROWS($A$6:A82)),"")</x:f>
      </x:c>
      <x:c r="I82" t="str">
        <x:f>IF(H82="","",IF(H82&gt;=1,"✅","☐"))</x:f>
      </x:c>
      <x:c r="J82" t="str">
        <x:f>IFERROR(INDEX(FILTER('Current Cycle Tracker'!$M$2:$M$200,('Current Cycle Tracker'!$B$2:$B$200="Person 1")*('Current Cycle Tracker'!$P$2:$P$200="Yes")),ROWS($A$6:A82)),"")</x:f>
      </x:c>
      <x:c r="K82" t="str">
        <x:f>IFERROR(INDEX(FILTER('Current Cycle Tracker'!$N$2:$N$200,('Current Cycle Tracker'!$B$2:$B$200="Person 1")*('Current Cycle Tracker'!$P$2:$P$200="Yes")),ROWS($A$6:A82)),"")</x:f>
      </x:c>
      <x:c r="L82" t="str">
        <x:f>IFERROR(INDEX(FILTER('Current Cycle Tracker'!$Q$2:$Q$200,('Current Cycle Tracker'!$B$2:$B$200="Person 1")*('Current Cycle Tracker'!$P$2:$P$200="Yes")),ROWS($A$6:A82)),"")</x:f>
      </x:c>
    </x:row>
    <x:row r="83">
      <x:c r="A83" t="str">
        <x:f>IFERROR(INDEX(FILTER('Current Cycle Tracker'!$C$2:$C$200,('Current Cycle Tracker'!$B$2:$B$200="Person 1")*('Current Cycle Tracker'!$P$2:$P$200="Yes")),ROWS($A$6:A83)),"")</x:f>
      </x:c>
      <x:c r="B83" t="str">
        <x:f>IFERROR(INDEX(FILTER('Current Cycle Tracker'!$D$2:$D$200,('Current Cycle Tracker'!$B$2:$B$200="Person 1")*('Current Cycle Tracker'!$P$2:$P$200="Yes")),ROWS($A$6:A83)),"")</x:f>
      </x:c>
      <x:c r="C83" t="str">
        <x:f>IFERROR(INDEX(FILTER('Current Cycle Tracker'!$G$2:$G$200,('Current Cycle Tracker'!$B$2:$B$200="Person 1")*('Current Cycle Tracker'!$P$2:$P$200="Yes")),ROWS($A$6:A83)),"")</x:f>
      </x:c>
      <x:c r="D83" t="str">
        <x:f>IFERROR(INDEX(FILTER('Current Cycle Tracker'!$H$2:$H$200,('Current Cycle Tracker'!$B$2:$B$200="Person 1")*('Current Cycle Tracker'!$P$2:$P$200="Yes")),ROWS($A$6:A83)),"")</x:f>
      </x:c>
      <x:c r="E83" t="str">
        <x:f>IFERROR(INDEX(FILTER('Current Cycle Tracker'!$I$2:$I$200,('Current Cycle Tracker'!$B$2:$B$200="Person 1")*('Current Cycle Tracker'!$P$2:$P$200="Yes")),ROWS($A$6:A83)),"")</x:f>
      </x:c>
      <x:c r="F83" t="str">
        <x:f>IFERROR(INDEX(FILTER('Current Cycle Tracker'!$J$2:$J$200,('Current Cycle Tracker'!$B$2:$B$200="Person 1")*('Current Cycle Tracker'!$P$2:$P$200="Yes")),ROWS($A$6:A83)),"")</x:f>
      </x:c>
      <x:c r="G83" t="str">
        <x:f>IFERROR(INDEX(FILTER('Current Cycle Tracker'!$K$2:$K$200,('Current Cycle Tracker'!$B$2:$B$200="Person 1")*('Current Cycle Tracker'!$P$2:$P$200="Yes")),ROWS($A$6:A83)),"")</x:f>
      </x:c>
      <x:c r="H83" t="str">
        <x:f>IFERROR(INDEX(FILTER('Current Cycle Tracker'!$L$2:$L$200,('Current Cycle Tracker'!$B$2:$B$200="Person 1")*('Current Cycle Tracker'!$P$2:$P$200="Yes")),ROWS($A$6:A83)),"")</x:f>
      </x:c>
      <x:c r="I83" t="str">
        <x:f>IF(H83="","",IF(H83&gt;=1,"✅","☐"))</x:f>
      </x:c>
      <x:c r="J83" t="str">
        <x:f>IFERROR(INDEX(FILTER('Current Cycle Tracker'!$M$2:$M$200,('Current Cycle Tracker'!$B$2:$B$200="Person 1")*('Current Cycle Tracker'!$P$2:$P$200="Yes")),ROWS($A$6:A83)),"")</x:f>
      </x:c>
      <x:c r="K83" t="str">
        <x:f>IFERROR(INDEX(FILTER('Current Cycle Tracker'!$N$2:$N$200,('Current Cycle Tracker'!$B$2:$B$200="Person 1")*('Current Cycle Tracker'!$P$2:$P$200="Yes")),ROWS($A$6:A83)),"")</x:f>
      </x:c>
      <x:c r="L83" t="str">
        <x:f>IFERROR(INDEX(FILTER('Current Cycle Tracker'!$Q$2:$Q$200,('Current Cycle Tracker'!$B$2:$B$200="Person 1")*('Current Cycle Tracker'!$P$2:$P$200="Yes")),ROWS($A$6:A83)),"")</x:f>
      </x:c>
    </x:row>
    <x:row r="84">
      <x:c r="A84" t="str">
        <x:f>IFERROR(INDEX(FILTER('Current Cycle Tracker'!$C$2:$C$200,('Current Cycle Tracker'!$B$2:$B$200="Person 1")*('Current Cycle Tracker'!$P$2:$P$200="Yes")),ROWS($A$6:A84)),"")</x:f>
      </x:c>
      <x:c r="B84" t="str">
        <x:f>IFERROR(INDEX(FILTER('Current Cycle Tracker'!$D$2:$D$200,('Current Cycle Tracker'!$B$2:$B$200="Person 1")*('Current Cycle Tracker'!$P$2:$P$200="Yes")),ROWS($A$6:A84)),"")</x:f>
      </x:c>
      <x:c r="C84" t="str">
        <x:f>IFERROR(INDEX(FILTER('Current Cycle Tracker'!$G$2:$G$200,('Current Cycle Tracker'!$B$2:$B$200="Person 1")*('Current Cycle Tracker'!$P$2:$P$200="Yes")),ROWS($A$6:A84)),"")</x:f>
      </x:c>
      <x:c r="D84" t="str">
        <x:f>IFERROR(INDEX(FILTER('Current Cycle Tracker'!$H$2:$H$200,('Current Cycle Tracker'!$B$2:$B$200="Person 1")*('Current Cycle Tracker'!$P$2:$P$200="Yes")),ROWS($A$6:A84)),"")</x:f>
      </x:c>
      <x:c r="E84" t="str">
        <x:f>IFERROR(INDEX(FILTER('Current Cycle Tracker'!$I$2:$I$200,('Current Cycle Tracker'!$B$2:$B$200="Person 1")*('Current Cycle Tracker'!$P$2:$P$200="Yes")),ROWS($A$6:A84)),"")</x:f>
      </x:c>
      <x:c r="F84" t="str">
        <x:f>IFERROR(INDEX(FILTER('Current Cycle Tracker'!$J$2:$J$200,('Current Cycle Tracker'!$B$2:$B$200="Person 1")*('Current Cycle Tracker'!$P$2:$P$200="Yes")),ROWS($A$6:A84)),"")</x:f>
      </x:c>
      <x:c r="G84" t="str">
        <x:f>IFERROR(INDEX(FILTER('Current Cycle Tracker'!$K$2:$K$200,('Current Cycle Tracker'!$B$2:$B$200="Person 1")*('Current Cycle Tracker'!$P$2:$P$200="Yes")),ROWS($A$6:A84)),"")</x:f>
      </x:c>
      <x:c r="H84" t="str">
        <x:f>IFERROR(INDEX(FILTER('Current Cycle Tracker'!$L$2:$L$200,('Current Cycle Tracker'!$B$2:$B$200="Person 1")*('Current Cycle Tracker'!$P$2:$P$200="Yes")),ROWS($A$6:A84)),"")</x:f>
      </x:c>
      <x:c r="I84" t="str">
        <x:f>IF(H84="","",IF(H84&gt;=1,"✅","☐"))</x:f>
      </x:c>
      <x:c r="J84" t="str">
        <x:f>IFERROR(INDEX(FILTER('Current Cycle Tracker'!$M$2:$M$200,('Current Cycle Tracker'!$B$2:$B$200="Person 1")*('Current Cycle Tracker'!$P$2:$P$200="Yes")),ROWS($A$6:A84)),"")</x:f>
      </x:c>
      <x:c r="K84" t="str">
        <x:f>IFERROR(INDEX(FILTER('Current Cycle Tracker'!$N$2:$N$200,('Current Cycle Tracker'!$B$2:$B$200="Person 1")*('Current Cycle Tracker'!$P$2:$P$200="Yes")),ROWS($A$6:A84)),"")</x:f>
      </x:c>
      <x:c r="L84" t="str">
        <x:f>IFERROR(INDEX(FILTER('Current Cycle Tracker'!$Q$2:$Q$200,('Current Cycle Tracker'!$B$2:$B$200="Person 1")*('Current Cycle Tracker'!$P$2:$P$200="Yes")),ROWS($A$6:A84)),"")</x:f>
      </x:c>
    </x:row>
    <x:row r="85">
      <x:c r="A85" t="str">
        <x:f>IFERROR(INDEX(FILTER('Current Cycle Tracker'!$C$2:$C$200,('Current Cycle Tracker'!$B$2:$B$200="Person 1")*('Current Cycle Tracker'!$P$2:$P$200="Yes")),ROWS($A$6:A85)),"")</x:f>
      </x:c>
      <x:c r="B85" t="str">
        <x:f>IFERROR(INDEX(FILTER('Current Cycle Tracker'!$D$2:$D$200,('Current Cycle Tracker'!$B$2:$B$200="Person 1")*('Current Cycle Tracker'!$P$2:$P$200="Yes")),ROWS($A$6:A85)),"")</x:f>
      </x:c>
      <x:c r="C85" t="str">
        <x:f>IFERROR(INDEX(FILTER('Current Cycle Tracker'!$G$2:$G$200,('Current Cycle Tracker'!$B$2:$B$200="Person 1")*('Current Cycle Tracker'!$P$2:$P$200="Yes")),ROWS($A$6:A85)),"")</x:f>
      </x:c>
      <x:c r="D85" t="str">
        <x:f>IFERROR(INDEX(FILTER('Current Cycle Tracker'!$H$2:$H$200,('Current Cycle Tracker'!$B$2:$B$200="Person 1")*('Current Cycle Tracker'!$P$2:$P$200="Yes")),ROWS($A$6:A85)),"")</x:f>
      </x:c>
      <x:c r="E85" t="str">
        <x:f>IFERROR(INDEX(FILTER('Current Cycle Tracker'!$I$2:$I$200,('Current Cycle Tracker'!$B$2:$B$200="Person 1")*('Current Cycle Tracker'!$P$2:$P$200="Yes")),ROWS($A$6:A85)),"")</x:f>
      </x:c>
      <x:c r="F85" t="str">
        <x:f>IFERROR(INDEX(FILTER('Current Cycle Tracker'!$J$2:$J$200,('Current Cycle Tracker'!$B$2:$B$200="Person 1")*('Current Cycle Tracker'!$P$2:$P$200="Yes")),ROWS($A$6:A85)),"")</x:f>
      </x:c>
      <x:c r="G85" t="str">
        <x:f>IFERROR(INDEX(FILTER('Current Cycle Tracker'!$K$2:$K$200,('Current Cycle Tracker'!$B$2:$B$200="Person 1")*('Current Cycle Tracker'!$P$2:$P$200="Yes")),ROWS($A$6:A85)),"")</x:f>
      </x:c>
      <x:c r="H85" t="str">
        <x:f>IFERROR(INDEX(FILTER('Current Cycle Tracker'!$L$2:$L$200,('Current Cycle Tracker'!$B$2:$B$200="Person 1")*('Current Cycle Tracker'!$P$2:$P$200="Yes")),ROWS($A$6:A85)),"")</x:f>
      </x:c>
      <x:c r="I85" t="str">
        <x:f>IF(H85="","",IF(H85&gt;=1,"✅","☐"))</x:f>
      </x:c>
      <x:c r="J85" t="str">
        <x:f>IFERROR(INDEX(FILTER('Current Cycle Tracker'!$M$2:$M$200,('Current Cycle Tracker'!$B$2:$B$200="Person 1")*('Current Cycle Tracker'!$P$2:$P$200="Yes")),ROWS($A$6:A85)),"")</x:f>
      </x:c>
      <x:c r="K85" t="str">
        <x:f>IFERROR(INDEX(FILTER('Current Cycle Tracker'!$N$2:$N$200,('Current Cycle Tracker'!$B$2:$B$200="Person 1")*('Current Cycle Tracker'!$P$2:$P$200="Yes")),ROWS($A$6:A85)),"")</x:f>
      </x:c>
      <x:c r="L85" t="str">
        <x:f>IFERROR(INDEX(FILTER('Current Cycle Tracker'!$Q$2:$Q$200,('Current Cycle Tracker'!$B$2:$B$200="Person 1")*('Current Cycle Tracker'!$P$2:$P$200="Yes")),ROWS($A$6:A85)),"")</x:f>
      </x:c>
    </x:row>
    <x:row r="91">
      <x:c r="A91" s="32" t="str">
        <x:v>Person 2 Benefits</x:v>
      </x:c>
    </x:row>
    <x:row r="92">
      <x:c r="A92" s="6" t="str">
        <x:v>Card</x:v>
      </x:c>
      <x:c r="B92" s="6" t="str">
        <x:v>Benefit</x:v>
      </x:c>
      <x:c r="C92" s="6" t="str">
        <x:v>Cycle</x:v>
      </x:c>
      <x:c r="D92" s="6" t="str">
        <x:v>Due Date</x:v>
      </x:c>
      <x:c r="E92" s="6" t="str">
        <x:v>Value</x:v>
      </x:c>
      <x:c r="F92" s="6" t="str">
        <x:v>Used</x:v>
      </x:c>
      <x:c r="G92" s="6" t="str">
        <x:v>Remaining</x:v>
      </x:c>
      <x:c r="H92" s="6" t="str">
        <x:v>Progress</x:v>
      </x:c>
      <x:c r="I92" s="6" t="str">
        <x:v>Check</x:v>
      </x:c>
      <x:c r="J92" s="6" t="str">
        <x:v>Status</x:v>
      </x:c>
      <x:c r="K92" s="6" t="str">
        <x:v>Days Left</x:v>
      </x:c>
      <x:c r="L92" s="6" t="str">
        <x:v>Notes</x:v>
      </x:c>
    </x:row>
    <x:row r="93">
      <x:c r="A93">
        <x:f>IFERROR(INDEX(FILTER('Current Cycle Tracker'!$C$2:$C$200,('Current Cycle Tracker'!$B$2:$B$200="Person 2")*('Current Cycle Tracker'!$P$2:$P$200="Yes")),ROWS($A$93:A93)),"")</x:f>
      </x:c>
      <x:c r="B93">
        <x:f>IFERROR(INDEX(FILTER('Current Cycle Tracker'!$D$2:$D$200,('Current Cycle Tracker'!$B$2:$B$200="Person 2")*('Current Cycle Tracker'!$P$2:$P$200="Yes")),ROWS($A$93:A93)),"")</x:f>
      </x:c>
      <x:c r="C93">
        <x:f>IFERROR(INDEX(FILTER('Current Cycle Tracker'!$G$2:$G$200,('Current Cycle Tracker'!$B$2:$B$200="Person 2")*('Current Cycle Tracker'!$P$2:$P$200="Yes")),ROWS($A$93:A93)),"")</x:f>
      </x:c>
      <x:c r="D93">
        <x:f>IFERROR(INDEX(FILTER('Current Cycle Tracker'!$H$2:$H$200,('Current Cycle Tracker'!$B$2:$B$200="Person 2")*('Current Cycle Tracker'!$P$2:$P$200="Yes")),ROWS($A$93:A93)),"")</x:f>
      </x:c>
      <x:c r="E93">
        <x:f>IFERROR(INDEX(FILTER('Current Cycle Tracker'!$I$2:$I$200,('Current Cycle Tracker'!$B$2:$B$200="Person 2")*('Current Cycle Tracker'!$P$2:$P$200="Yes")),ROWS($A$93:A93)),"")</x:f>
      </x:c>
      <x:c r="F93">
        <x:f>IFERROR(INDEX(FILTER('Current Cycle Tracker'!$J$2:$J$200,('Current Cycle Tracker'!$B$2:$B$200="Person 2")*('Current Cycle Tracker'!$P$2:$P$200="Yes")),ROWS($A$93:A93)),"")</x:f>
      </x:c>
      <x:c r="G93">
        <x:f>IFERROR(INDEX(FILTER('Current Cycle Tracker'!$K$2:$K$200,('Current Cycle Tracker'!$B$2:$B$200="Person 2")*('Current Cycle Tracker'!$P$2:$P$200="Yes")),ROWS($A$93:A93)),"")</x:f>
      </x:c>
      <x:c r="H93">
        <x:f>IFERROR(INDEX(FILTER('Current Cycle Tracker'!$L$2:$L$200,('Current Cycle Tracker'!$B$2:$B$200="Person 2")*('Current Cycle Tracker'!$P$2:$P$200="Yes")),ROWS($A$93:A93)),"")</x:f>
      </x:c>
      <x:c r="I93">
        <x:f>IF(H93="","",IF(H93&gt;=1,"✅","☐"))</x:f>
      </x:c>
      <x:c r="J93">
        <x:f>IFERROR(INDEX(FILTER('Current Cycle Tracker'!$M$2:$M$200,('Current Cycle Tracker'!$B$2:$B$200="Person 2")*('Current Cycle Tracker'!$P$2:$P$200="Yes")),ROWS($A$93:A93)),"")</x:f>
      </x:c>
      <x:c r="K93">
        <x:f>IFERROR(INDEX(FILTER('Current Cycle Tracker'!$N$2:$N$200,('Current Cycle Tracker'!$B$2:$B$200="Person 2")*('Current Cycle Tracker'!$P$2:$P$200="Yes")),ROWS($A$93:A93)),"")</x:f>
      </x:c>
      <x:c r="L93">
        <x:f>IFERROR(INDEX(FILTER('Current Cycle Tracker'!$Q$2:$Q$200,('Current Cycle Tracker'!$B$2:$B$200="Person 2")*('Current Cycle Tracker'!$P$2:$P$200="Yes")),ROWS($A$93:A93)),"")</x:f>
      </x:c>
    </x:row>
    <x:row r="94">
      <x:c r="A94">
        <x:f>IFERROR(INDEX(FILTER('Current Cycle Tracker'!$C$2:$C$200,('Current Cycle Tracker'!$B$2:$B$200="Person 2")*('Current Cycle Tracker'!$P$2:$P$200="Yes")),ROWS($A$93:A94)),"")</x:f>
      </x:c>
      <x:c r="B94">
        <x:f>IFERROR(INDEX(FILTER('Current Cycle Tracker'!$D$2:$D$200,('Current Cycle Tracker'!$B$2:$B$200="Person 2")*('Current Cycle Tracker'!$P$2:$P$200="Yes")),ROWS($A$93:A94)),"")</x:f>
      </x:c>
      <x:c r="C94">
        <x:f>IFERROR(INDEX(FILTER('Current Cycle Tracker'!$G$2:$G$200,('Current Cycle Tracker'!$B$2:$B$200="Person 2")*('Current Cycle Tracker'!$P$2:$P$200="Yes")),ROWS($A$93:A94)),"")</x:f>
      </x:c>
      <x:c r="D94">
        <x:f>IFERROR(INDEX(FILTER('Current Cycle Tracker'!$H$2:$H$200,('Current Cycle Tracker'!$B$2:$B$200="Person 2")*('Current Cycle Tracker'!$P$2:$P$200="Yes")),ROWS($A$93:A94)),"")</x:f>
      </x:c>
      <x:c r="E94">
        <x:f>IFERROR(INDEX(FILTER('Current Cycle Tracker'!$I$2:$I$200,('Current Cycle Tracker'!$B$2:$B$200="Person 2")*('Current Cycle Tracker'!$P$2:$P$200="Yes")),ROWS($A$93:A94)),"")</x:f>
      </x:c>
      <x:c r="F94">
        <x:f>IFERROR(INDEX(FILTER('Current Cycle Tracker'!$J$2:$J$200,('Current Cycle Tracker'!$B$2:$B$200="Person 2")*('Current Cycle Tracker'!$P$2:$P$200="Yes")),ROWS($A$93:A94)),"")</x:f>
      </x:c>
      <x:c r="G94">
        <x:f>IFERROR(INDEX(FILTER('Current Cycle Tracker'!$K$2:$K$200,('Current Cycle Tracker'!$B$2:$B$200="Person 2")*('Current Cycle Tracker'!$P$2:$P$200="Yes")),ROWS($A$93:A94)),"")</x:f>
      </x:c>
      <x:c r="H94">
        <x:f>IFERROR(INDEX(FILTER('Current Cycle Tracker'!$L$2:$L$200,('Current Cycle Tracker'!$B$2:$B$200="Person 2")*('Current Cycle Tracker'!$P$2:$P$200="Yes")),ROWS($A$93:A94)),"")</x:f>
      </x:c>
      <x:c r="I94">
        <x:f>IF(H94="","",IF(H94&gt;=1,"✅","☐"))</x:f>
      </x:c>
      <x:c r="J94">
        <x:f>IFERROR(INDEX(FILTER('Current Cycle Tracker'!$M$2:$M$200,('Current Cycle Tracker'!$B$2:$B$200="Person 2")*('Current Cycle Tracker'!$P$2:$P$200="Yes")),ROWS($A$93:A94)),"")</x:f>
      </x:c>
      <x:c r="K94">
        <x:f>IFERROR(INDEX(FILTER('Current Cycle Tracker'!$N$2:$N$200,('Current Cycle Tracker'!$B$2:$B$200="Person 2")*('Current Cycle Tracker'!$P$2:$P$200="Yes")),ROWS($A$93:A94)),"")</x:f>
      </x:c>
      <x:c r="L94">
        <x:f>IFERROR(INDEX(FILTER('Current Cycle Tracker'!$Q$2:$Q$200,('Current Cycle Tracker'!$B$2:$B$200="Person 2")*('Current Cycle Tracker'!$P$2:$P$200="Yes")),ROWS($A$93:A94)),"")</x:f>
      </x:c>
    </x:row>
    <x:row r="95">
      <x:c r="A95">
        <x:f>IFERROR(INDEX(FILTER('Current Cycle Tracker'!$C$2:$C$200,('Current Cycle Tracker'!$B$2:$B$200="Person 2")*('Current Cycle Tracker'!$P$2:$P$200="Yes")),ROWS($A$93:A95)),"")</x:f>
      </x:c>
      <x:c r="B95">
        <x:f>IFERROR(INDEX(FILTER('Current Cycle Tracker'!$D$2:$D$200,('Current Cycle Tracker'!$B$2:$B$200="Person 2")*('Current Cycle Tracker'!$P$2:$P$200="Yes")),ROWS($A$93:A95)),"")</x:f>
      </x:c>
      <x:c r="C95">
        <x:f>IFERROR(INDEX(FILTER('Current Cycle Tracker'!$G$2:$G$200,('Current Cycle Tracker'!$B$2:$B$200="Person 2")*('Current Cycle Tracker'!$P$2:$P$200="Yes")),ROWS($A$93:A95)),"")</x:f>
      </x:c>
      <x:c r="D95">
        <x:f>IFERROR(INDEX(FILTER('Current Cycle Tracker'!$H$2:$H$200,('Current Cycle Tracker'!$B$2:$B$200="Person 2")*('Current Cycle Tracker'!$P$2:$P$200="Yes")),ROWS($A$93:A95)),"")</x:f>
      </x:c>
      <x:c r="E95">
        <x:f>IFERROR(INDEX(FILTER('Current Cycle Tracker'!$I$2:$I$200,('Current Cycle Tracker'!$B$2:$B$200="Person 2")*('Current Cycle Tracker'!$P$2:$P$200="Yes")),ROWS($A$93:A95)),"")</x:f>
      </x:c>
      <x:c r="F95">
        <x:f>IFERROR(INDEX(FILTER('Current Cycle Tracker'!$J$2:$J$200,('Current Cycle Tracker'!$B$2:$B$200="Person 2")*('Current Cycle Tracker'!$P$2:$P$200="Yes")),ROWS($A$93:A95)),"")</x:f>
      </x:c>
      <x:c r="G95">
        <x:f>IFERROR(INDEX(FILTER('Current Cycle Tracker'!$K$2:$K$200,('Current Cycle Tracker'!$B$2:$B$200="Person 2")*('Current Cycle Tracker'!$P$2:$P$200="Yes")),ROWS($A$93:A95)),"")</x:f>
      </x:c>
      <x:c r="H95">
        <x:f>IFERROR(INDEX(FILTER('Current Cycle Tracker'!$L$2:$L$200,('Current Cycle Tracker'!$B$2:$B$200="Person 2")*('Current Cycle Tracker'!$P$2:$P$200="Yes")),ROWS($A$93:A95)),"")</x:f>
      </x:c>
      <x:c r="I95">
        <x:f>IF(H95="","",IF(H95&gt;=1,"✅","☐"))</x:f>
      </x:c>
      <x:c r="J95">
        <x:f>IFERROR(INDEX(FILTER('Current Cycle Tracker'!$M$2:$M$200,('Current Cycle Tracker'!$B$2:$B$200="Person 2")*('Current Cycle Tracker'!$P$2:$P$200="Yes")),ROWS($A$93:A95)),"")</x:f>
      </x:c>
      <x:c r="K95">
        <x:f>IFERROR(INDEX(FILTER('Current Cycle Tracker'!$N$2:$N$200,('Current Cycle Tracker'!$B$2:$B$200="Person 2")*('Current Cycle Tracker'!$P$2:$P$200="Yes")),ROWS($A$93:A95)),"")</x:f>
      </x:c>
      <x:c r="L95">
        <x:f>IFERROR(INDEX(FILTER('Current Cycle Tracker'!$Q$2:$Q$200,('Current Cycle Tracker'!$B$2:$B$200="Person 2")*('Current Cycle Tracker'!$P$2:$P$200="Yes")),ROWS($A$93:A95)),"")</x:f>
      </x:c>
    </x:row>
    <x:row r="96">
      <x:c r="A96">
        <x:f>IFERROR(INDEX(FILTER('Current Cycle Tracker'!$C$2:$C$200,('Current Cycle Tracker'!$B$2:$B$200="Person 2")*('Current Cycle Tracker'!$P$2:$P$200="Yes")),ROWS($A$93:A96)),"")</x:f>
      </x:c>
      <x:c r="B96">
        <x:f>IFERROR(INDEX(FILTER('Current Cycle Tracker'!$D$2:$D$200,('Current Cycle Tracker'!$B$2:$B$200="Person 2")*('Current Cycle Tracker'!$P$2:$P$200="Yes")),ROWS($A$93:A96)),"")</x:f>
      </x:c>
      <x:c r="C96">
        <x:f>IFERROR(INDEX(FILTER('Current Cycle Tracker'!$G$2:$G$200,('Current Cycle Tracker'!$B$2:$B$200="Person 2")*('Current Cycle Tracker'!$P$2:$P$200="Yes")),ROWS($A$93:A96)),"")</x:f>
      </x:c>
      <x:c r="D96">
        <x:f>IFERROR(INDEX(FILTER('Current Cycle Tracker'!$H$2:$H$200,('Current Cycle Tracker'!$B$2:$B$200="Person 2")*('Current Cycle Tracker'!$P$2:$P$200="Yes")),ROWS($A$93:A96)),"")</x:f>
      </x:c>
      <x:c r="E96">
        <x:f>IFERROR(INDEX(FILTER('Current Cycle Tracker'!$I$2:$I$200,('Current Cycle Tracker'!$B$2:$B$200="Person 2")*('Current Cycle Tracker'!$P$2:$P$200="Yes")),ROWS($A$93:A96)),"")</x:f>
      </x:c>
      <x:c r="F96">
        <x:f>IFERROR(INDEX(FILTER('Current Cycle Tracker'!$J$2:$J$200,('Current Cycle Tracker'!$B$2:$B$200="Person 2")*('Current Cycle Tracker'!$P$2:$P$200="Yes")),ROWS($A$93:A96)),"")</x:f>
      </x:c>
      <x:c r="G96">
        <x:f>IFERROR(INDEX(FILTER('Current Cycle Tracker'!$K$2:$K$200,('Current Cycle Tracker'!$B$2:$B$200="Person 2")*('Current Cycle Tracker'!$P$2:$P$200="Yes")),ROWS($A$93:A96)),"")</x:f>
      </x:c>
      <x:c r="H96">
        <x:f>IFERROR(INDEX(FILTER('Current Cycle Tracker'!$L$2:$L$200,('Current Cycle Tracker'!$B$2:$B$200="Person 2")*('Current Cycle Tracker'!$P$2:$P$200="Yes")),ROWS($A$93:A96)),"")</x:f>
      </x:c>
      <x:c r="I96">
        <x:f>IF(H96="","",IF(H96&gt;=1,"✅","☐"))</x:f>
      </x:c>
      <x:c r="J96">
        <x:f>IFERROR(INDEX(FILTER('Current Cycle Tracker'!$M$2:$M$200,('Current Cycle Tracker'!$B$2:$B$200="Person 2")*('Current Cycle Tracker'!$P$2:$P$200="Yes")),ROWS($A$93:A96)),"")</x:f>
      </x:c>
      <x:c r="K96">
        <x:f>IFERROR(INDEX(FILTER('Current Cycle Tracker'!$N$2:$N$200,('Current Cycle Tracker'!$B$2:$B$200="Person 2")*('Current Cycle Tracker'!$P$2:$P$200="Yes")),ROWS($A$93:A96)),"")</x:f>
      </x:c>
      <x:c r="L96">
        <x:f>IFERROR(INDEX(FILTER('Current Cycle Tracker'!$Q$2:$Q$200,('Current Cycle Tracker'!$B$2:$B$200="Person 2")*('Current Cycle Tracker'!$P$2:$P$200="Yes")),ROWS($A$93:A96)),"")</x:f>
      </x:c>
    </x:row>
    <x:row r="97">
      <x:c r="A97">
        <x:f>IFERROR(INDEX(FILTER('Current Cycle Tracker'!$C$2:$C$200,('Current Cycle Tracker'!$B$2:$B$200="Person 2")*('Current Cycle Tracker'!$P$2:$P$200="Yes")),ROWS($A$93:A97)),"")</x:f>
      </x:c>
      <x:c r="B97">
        <x:f>IFERROR(INDEX(FILTER('Current Cycle Tracker'!$D$2:$D$200,('Current Cycle Tracker'!$B$2:$B$200="Person 2")*('Current Cycle Tracker'!$P$2:$P$200="Yes")),ROWS($A$93:A97)),"")</x:f>
      </x:c>
      <x:c r="C97">
        <x:f>IFERROR(INDEX(FILTER('Current Cycle Tracker'!$G$2:$G$200,('Current Cycle Tracker'!$B$2:$B$200="Person 2")*('Current Cycle Tracker'!$P$2:$P$200="Yes")),ROWS($A$93:A97)),"")</x:f>
      </x:c>
      <x:c r="D97">
        <x:f>IFERROR(INDEX(FILTER('Current Cycle Tracker'!$H$2:$H$200,('Current Cycle Tracker'!$B$2:$B$200="Person 2")*('Current Cycle Tracker'!$P$2:$P$200="Yes")),ROWS($A$93:A97)),"")</x:f>
      </x:c>
      <x:c r="E97">
        <x:f>IFERROR(INDEX(FILTER('Current Cycle Tracker'!$I$2:$I$200,('Current Cycle Tracker'!$B$2:$B$200="Person 2")*('Current Cycle Tracker'!$P$2:$P$200="Yes")),ROWS($A$93:A97)),"")</x:f>
      </x:c>
      <x:c r="F97">
        <x:f>IFERROR(INDEX(FILTER('Current Cycle Tracker'!$J$2:$J$200,('Current Cycle Tracker'!$B$2:$B$200="Person 2")*('Current Cycle Tracker'!$P$2:$P$200="Yes")),ROWS($A$93:A97)),"")</x:f>
      </x:c>
      <x:c r="G97">
        <x:f>IFERROR(INDEX(FILTER('Current Cycle Tracker'!$K$2:$K$200,('Current Cycle Tracker'!$B$2:$B$200="Person 2")*('Current Cycle Tracker'!$P$2:$P$200="Yes")),ROWS($A$93:A97)),"")</x:f>
      </x:c>
      <x:c r="H97">
        <x:f>IFERROR(INDEX(FILTER('Current Cycle Tracker'!$L$2:$L$200,('Current Cycle Tracker'!$B$2:$B$200="Person 2")*('Current Cycle Tracker'!$P$2:$P$200="Yes")),ROWS($A$93:A97)),"")</x:f>
      </x:c>
      <x:c r="I97">
        <x:f>IF(H97="","",IF(H97&gt;=1,"✅","☐"))</x:f>
      </x:c>
      <x:c r="J97">
        <x:f>IFERROR(INDEX(FILTER('Current Cycle Tracker'!$M$2:$M$200,('Current Cycle Tracker'!$B$2:$B$200="Person 2")*('Current Cycle Tracker'!$P$2:$P$200="Yes")),ROWS($A$93:A97)),"")</x:f>
      </x:c>
      <x:c r="K97">
        <x:f>IFERROR(INDEX(FILTER('Current Cycle Tracker'!$N$2:$N$200,('Current Cycle Tracker'!$B$2:$B$200="Person 2")*('Current Cycle Tracker'!$P$2:$P$200="Yes")),ROWS($A$93:A97)),"")</x:f>
      </x:c>
      <x:c r="L97">
        <x:f>IFERROR(INDEX(FILTER('Current Cycle Tracker'!$Q$2:$Q$200,('Current Cycle Tracker'!$B$2:$B$200="Person 2")*('Current Cycle Tracker'!$P$2:$P$200="Yes")),ROWS($A$93:A97)),"")</x:f>
      </x:c>
    </x:row>
    <x:row r="98">
      <x:c r="A98">
        <x:f>IFERROR(INDEX(FILTER('Current Cycle Tracker'!$C$2:$C$200,('Current Cycle Tracker'!$B$2:$B$200="Person 2")*('Current Cycle Tracker'!$P$2:$P$200="Yes")),ROWS($A$93:A98)),"")</x:f>
      </x:c>
      <x:c r="B98">
        <x:f>IFERROR(INDEX(FILTER('Current Cycle Tracker'!$D$2:$D$200,('Current Cycle Tracker'!$B$2:$B$200="Person 2")*('Current Cycle Tracker'!$P$2:$P$200="Yes")),ROWS($A$93:A98)),"")</x:f>
      </x:c>
      <x:c r="C98">
        <x:f>IFERROR(INDEX(FILTER('Current Cycle Tracker'!$G$2:$G$200,('Current Cycle Tracker'!$B$2:$B$200="Person 2")*('Current Cycle Tracker'!$P$2:$P$200="Yes")),ROWS($A$93:A98)),"")</x:f>
      </x:c>
      <x:c r="D98">
        <x:f>IFERROR(INDEX(FILTER('Current Cycle Tracker'!$H$2:$H$200,('Current Cycle Tracker'!$B$2:$B$200="Person 2")*('Current Cycle Tracker'!$P$2:$P$200="Yes")),ROWS($A$93:A98)),"")</x:f>
      </x:c>
      <x:c r="E98">
        <x:f>IFERROR(INDEX(FILTER('Current Cycle Tracker'!$I$2:$I$200,('Current Cycle Tracker'!$B$2:$B$200="Person 2")*('Current Cycle Tracker'!$P$2:$P$200="Yes")),ROWS($A$93:A98)),"")</x:f>
      </x:c>
      <x:c r="F98">
        <x:f>IFERROR(INDEX(FILTER('Current Cycle Tracker'!$J$2:$J$200,('Current Cycle Tracker'!$B$2:$B$200="Person 2")*('Current Cycle Tracker'!$P$2:$P$200="Yes")),ROWS($A$93:A98)),"")</x:f>
      </x:c>
      <x:c r="G98">
        <x:f>IFERROR(INDEX(FILTER('Current Cycle Tracker'!$K$2:$K$200,('Current Cycle Tracker'!$B$2:$B$200="Person 2")*('Current Cycle Tracker'!$P$2:$P$200="Yes")),ROWS($A$93:A98)),"")</x:f>
      </x:c>
      <x:c r="H98">
        <x:f>IFERROR(INDEX(FILTER('Current Cycle Tracker'!$L$2:$L$200,('Current Cycle Tracker'!$B$2:$B$200="Person 2")*('Current Cycle Tracker'!$P$2:$P$200="Yes")),ROWS($A$93:A98)),"")</x:f>
      </x:c>
      <x:c r="I98">
        <x:f>IF(H98="","",IF(H98&gt;=1,"✅","☐"))</x:f>
      </x:c>
      <x:c r="J98">
        <x:f>IFERROR(INDEX(FILTER('Current Cycle Tracker'!$M$2:$M$200,('Current Cycle Tracker'!$B$2:$B$200="Person 2")*('Current Cycle Tracker'!$P$2:$P$200="Yes")),ROWS($A$93:A98)),"")</x:f>
      </x:c>
      <x:c r="K98">
        <x:f>IFERROR(INDEX(FILTER('Current Cycle Tracker'!$N$2:$N$200,('Current Cycle Tracker'!$B$2:$B$200="Person 2")*('Current Cycle Tracker'!$P$2:$P$200="Yes")),ROWS($A$93:A98)),"")</x:f>
      </x:c>
      <x:c r="L98">
        <x:f>IFERROR(INDEX(FILTER('Current Cycle Tracker'!$Q$2:$Q$200,('Current Cycle Tracker'!$B$2:$B$200="Person 2")*('Current Cycle Tracker'!$P$2:$P$200="Yes")),ROWS($A$93:A98)),"")</x:f>
      </x:c>
    </x:row>
    <x:row r="99">
      <x:c r="A99">
        <x:f>IFERROR(INDEX(FILTER('Current Cycle Tracker'!$C$2:$C$200,('Current Cycle Tracker'!$B$2:$B$200="Person 2")*('Current Cycle Tracker'!$P$2:$P$200="Yes")),ROWS($A$93:A99)),"")</x:f>
      </x:c>
      <x:c r="B99">
        <x:f>IFERROR(INDEX(FILTER('Current Cycle Tracker'!$D$2:$D$200,('Current Cycle Tracker'!$B$2:$B$200="Person 2")*('Current Cycle Tracker'!$P$2:$P$200="Yes")),ROWS($A$93:A99)),"")</x:f>
      </x:c>
      <x:c r="C99">
        <x:f>IFERROR(INDEX(FILTER('Current Cycle Tracker'!$G$2:$G$200,('Current Cycle Tracker'!$B$2:$B$200="Person 2")*('Current Cycle Tracker'!$P$2:$P$200="Yes")),ROWS($A$93:A99)),"")</x:f>
      </x:c>
      <x:c r="D99">
        <x:f>IFERROR(INDEX(FILTER('Current Cycle Tracker'!$H$2:$H$200,('Current Cycle Tracker'!$B$2:$B$200="Person 2")*('Current Cycle Tracker'!$P$2:$P$200="Yes")),ROWS($A$93:A99)),"")</x:f>
      </x:c>
      <x:c r="E99">
        <x:f>IFERROR(INDEX(FILTER('Current Cycle Tracker'!$I$2:$I$200,('Current Cycle Tracker'!$B$2:$B$200="Person 2")*('Current Cycle Tracker'!$P$2:$P$200="Yes")),ROWS($A$93:A99)),"")</x:f>
      </x:c>
      <x:c r="F99">
        <x:f>IFERROR(INDEX(FILTER('Current Cycle Tracker'!$J$2:$J$200,('Current Cycle Tracker'!$B$2:$B$200="Person 2")*('Current Cycle Tracker'!$P$2:$P$200="Yes")),ROWS($A$93:A99)),"")</x:f>
      </x:c>
      <x:c r="G99">
        <x:f>IFERROR(INDEX(FILTER('Current Cycle Tracker'!$K$2:$K$200,('Current Cycle Tracker'!$B$2:$B$200="Person 2")*('Current Cycle Tracker'!$P$2:$P$200="Yes")),ROWS($A$93:A99)),"")</x:f>
      </x:c>
      <x:c r="H99">
        <x:f>IFERROR(INDEX(FILTER('Current Cycle Tracker'!$L$2:$L$200,('Current Cycle Tracker'!$B$2:$B$200="Person 2")*('Current Cycle Tracker'!$P$2:$P$200="Yes")),ROWS($A$93:A99)),"")</x:f>
      </x:c>
      <x:c r="I99">
        <x:f>IF(H99="","",IF(H99&gt;=1,"✅","☐"))</x:f>
      </x:c>
      <x:c r="J99">
        <x:f>IFERROR(INDEX(FILTER('Current Cycle Tracker'!$M$2:$M$200,('Current Cycle Tracker'!$B$2:$B$200="Person 2")*('Current Cycle Tracker'!$P$2:$P$200="Yes")),ROWS($A$93:A99)),"")</x:f>
      </x:c>
      <x:c r="K99">
        <x:f>IFERROR(INDEX(FILTER('Current Cycle Tracker'!$N$2:$N$200,('Current Cycle Tracker'!$B$2:$B$200="Person 2")*('Current Cycle Tracker'!$P$2:$P$200="Yes")),ROWS($A$93:A99)),"")</x:f>
      </x:c>
      <x:c r="L99">
        <x:f>IFERROR(INDEX(FILTER('Current Cycle Tracker'!$Q$2:$Q$200,('Current Cycle Tracker'!$B$2:$B$200="Person 2")*('Current Cycle Tracker'!$P$2:$P$200="Yes")),ROWS($A$93:A99)),"")</x:f>
      </x:c>
    </x:row>
    <x:row r="100">
      <x:c r="A100">
        <x:f>IFERROR(INDEX(FILTER('Current Cycle Tracker'!$C$2:$C$200,('Current Cycle Tracker'!$B$2:$B$200="Person 2")*('Current Cycle Tracker'!$P$2:$P$200="Yes")),ROWS($A$93:A100)),"")</x:f>
      </x:c>
      <x:c r="B100">
        <x:f>IFERROR(INDEX(FILTER('Current Cycle Tracker'!$D$2:$D$200,('Current Cycle Tracker'!$B$2:$B$200="Person 2")*('Current Cycle Tracker'!$P$2:$P$200="Yes")),ROWS($A$93:A100)),"")</x:f>
      </x:c>
      <x:c r="C100">
        <x:f>IFERROR(INDEX(FILTER('Current Cycle Tracker'!$G$2:$G$200,('Current Cycle Tracker'!$B$2:$B$200="Person 2")*('Current Cycle Tracker'!$P$2:$P$200="Yes")),ROWS($A$93:A100)),"")</x:f>
      </x:c>
      <x:c r="D100">
        <x:f>IFERROR(INDEX(FILTER('Current Cycle Tracker'!$H$2:$H$200,('Current Cycle Tracker'!$B$2:$B$200="Person 2")*('Current Cycle Tracker'!$P$2:$P$200="Yes")),ROWS($A$93:A100)),"")</x:f>
      </x:c>
      <x:c r="E100">
        <x:f>IFERROR(INDEX(FILTER('Current Cycle Tracker'!$I$2:$I$200,('Current Cycle Tracker'!$B$2:$B$200="Person 2")*('Current Cycle Tracker'!$P$2:$P$200="Yes")),ROWS($A$93:A100)),"")</x:f>
      </x:c>
      <x:c r="F100">
        <x:f>IFERROR(INDEX(FILTER('Current Cycle Tracker'!$J$2:$J$200,('Current Cycle Tracker'!$B$2:$B$200="Person 2")*('Current Cycle Tracker'!$P$2:$P$200="Yes")),ROWS($A$93:A100)),"")</x:f>
      </x:c>
      <x:c r="G100">
        <x:f>IFERROR(INDEX(FILTER('Current Cycle Tracker'!$K$2:$K$200,('Current Cycle Tracker'!$B$2:$B$200="Person 2")*('Current Cycle Tracker'!$P$2:$P$200="Yes")),ROWS($A$93:A100)),"")</x:f>
      </x:c>
      <x:c r="H100">
        <x:f>IFERROR(INDEX(FILTER('Current Cycle Tracker'!$L$2:$L$200,('Current Cycle Tracker'!$B$2:$B$200="Person 2")*('Current Cycle Tracker'!$P$2:$P$200="Yes")),ROWS($A$93:A100)),"")</x:f>
      </x:c>
      <x:c r="I100">
        <x:f>IF(H100="","",IF(H100&gt;=1,"✅","☐"))</x:f>
      </x:c>
      <x:c r="J100">
        <x:f>IFERROR(INDEX(FILTER('Current Cycle Tracker'!$M$2:$M$200,('Current Cycle Tracker'!$B$2:$B$200="Person 2")*('Current Cycle Tracker'!$P$2:$P$200="Yes")),ROWS($A$93:A100)),"")</x:f>
      </x:c>
      <x:c r="K100">
        <x:f>IFERROR(INDEX(FILTER('Current Cycle Tracker'!$N$2:$N$200,('Current Cycle Tracker'!$B$2:$B$200="Person 2")*('Current Cycle Tracker'!$P$2:$P$200="Yes")),ROWS($A$93:A100)),"")</x:f>
      </x:c>
      <x:c r="L100">
        <x:f>IFERROR(INDEX(FILTER('Current Cycle Tracker'!$Q$2:$Q$200,('Current Cycle Tracker'!$B$2:$B$200="Person 2")*('Current Cycle Tracker'!$P$2:$P$200="Yes")),ROWS($A$93:A100)),"")</x:f>
      </x:c>
    </x:row>
    <x:row r="101">
      <x:c r="A101">
        <x:f>IFERROR(INDEX(FILTER('Current Cycle Tracker'!$C$2:$C$200,('Current Cycle Tracker'!$B$2:$B$200="Person 2")*('Current Cycle Tracker'!$P$2:$P$200="Yes")),ROWS($A$93:A101)),"")</x:f>
      </x:c>
      <x:c r="B101">
        <x:f>IFERROR(INDEX(FILTER('Current Cycle Tracker'!$D$2:$D$200,('Current Cycle Tracker'!$B$2:$B$200="Person 2")*('Current Cycle Tracker'!$P$2:$P$200="Yes")),ROWS($A$93:A101)),"")</x:f>
      </x:c>
      <x:c r="C101">
        <x:f>IFERROR(INDEX(FILTER('Current Cycle Tracker'!$G$2:$G$200,('Current Cycle Tracker'!$B$2:$B$200="Person 2")*('Current Cycle Tracker'!$P$2:$P$200="Yes")),ROWS($A$93:A101)),"")</x:f>
      </x:c>
      <x:c r="D101">
        <x:f>IFERROR(INDEX(FILTER('Current Cycle Tracker'!$H$2:$H$200,('Current Cycle Tracker'!$B$2:$B$200="Person 2")*('Current Cycle Tracker'!$P$2:$P$200="Yes")),ROWS($A$93:A101)),"")</x:f>
      </x:c>
      <x:c r="E101">
        <x:f>IFERROR(INDEX(FILTER('Current Cycle Tracker'!$I$2:$I$200,('Current Cycle Tracker'!$B$2:$B$200="Person 2")*('Current Cycle Tracker'!$P$2:$P$200="Yes")),ROWS($A$93:A101)),"")</x:f>
      </x:c>
      <x:c r="F101">
        <x:f>IFERROR(INDEX(FILTER('Current Cycle Tracker'!$J$2:$J$200,('Current Cycle Tracker'!$B$2:$B$200="Person 2")*('Current Cycle Tracker'!$P$2:$P$200="Yes")),ROWS($A$93:A101)),"")</x:f>
      </x:c>
      <x:c r="G101">
        <x:f>IFERROR(INDEX(FILTER('Current Cycle Tracker'!$K$2:$K$200,('Current Cycle Tracker'!$B$2:$B$200="Person 2")*('Current Cycle Tracker'!$P$2:$P$200="Yes")),ROWS($A$93:A101)),"")</x:f>
      </x:c>
      <x:c r="H101">
        <x:f>IFERROR(INDEX(FILTER('Current Cycle Tracker'!$L$2:$L$200,('Current Cycle Tracker'!$B$2:$B$200="Person 2")*('Current Cycle Tracker'!$P$2:$P$200="Yes")),ROWS($A$93:A101)),"")</x:f>
      </x:c>
      <x:c r="I101">
        <x:f>IF(H101="","",IF(H101&gt;=1,"✅","☐"))</x:f>
      </x:c>
      <x:c r="J101">
        <x:f>IFERROR(INDEX(FILTER('Current Cycle Tracker'!$M$2:$M$200,('Current Cycle Tracker'!$B$2:$B$200="Person 2")*('Current Cycle Tracker'!$P$2:$P$200="Yes")),ROWS($A$93:A101)),"")</x:f>
      </x:c>
      <x:c r="K101">
        <x:f>IFERROR(INDEX(FILTER('Current Cycle Tracker'!$N$2:$N$200,('Current Cycle Tracker'!$B$2:$B$200="Person 2")*('Current Cycle Tracker'!$P$2:$P$200="Yes")),ROWS($A$93:A101)),"")</x:f>
      </x:c>
      <x:c r="L101">
        <x:f>IFERROR(INDEX(FILTER('Current Cycle Tracker'!$Q$2:$Q$200,('Current Cycle Tracker'!$B$2:$B$200="Person 2")*('Current Cycle Tracker'!$P$2:$P$200="Yes")),ROWS($A$93:A101)),"")</x:f>
      </x:c>
    </x:row>
    <x:row r="102">
      <x:c r="A102">
        <x:f>IFERROR(INDEX(FILTER('Current Cycle Tracker'!$C$2:$C$200,('Current Cycle Tracker'!$B$2:$B$200="Person 2")*('Current Cycle Tracker'!$P$2:$P$200="Yes")),ROWS($A$93:A102)),"")</x:f>
      </x:c>
      <x:c r="B102">
        <x:f>IFERROR(INDEX(FILTER('Current Cycle Tracker'!$D$2:$D$200,('Current Cycle Tracker'!$B$2:$B$200="Person 2")*('Current Cycle Tracker'!$P$2:$P$200="Yes")),ROWS($A$93:A102)),"")</x:f>
      </x:c>
      <x:c r="C102">
        <x:f>IFERROR(INDEX(FILTER('Current Cycle Tracker'!$G$2:$G$200,('Current Cycle Tracker'!$B$2:$B$200="Person 2")*('Current Cycle Tracker'!$P$2:$P$200="Yes")),ROWS($A$93:A102)),"")</x:f>
      </x:c>
      <x:c r="D102">
        <x:f>IFERROR(INDEX(FILTER('Current Cycle Tracker'!$H$2:$H$200,('Current Cycle Tracker'!$B$2:$B$200="Person 2")*('Current Cycle Tracker'!$P$2:$P$200="Yes")),ROWS($A$93:A102)),"")</x:f>
      </x:c>
      <x:c r="E102">
        <x:f>IFERROR(INDEX(FILTER('Current Cycle Tracker'!$I$2:$I$200,('Current Cycle Tracker'!$B$2:$B$200="Person 2")*('Current Cycle Tracker'!$P$2:$P$200="Yes")),ROWS($A$93:A102)),"")</x:f>
      </x:c>
      <x:c r="F102">
        <x:f>IFERROR(INDEX(FILTER('Current Cycle Tracker'!$J$2:$J$200,('Current Cycle Tracker'!$B$2:$B$200="Person 2")*('Current Cycle Tracker'!$P$2:$P$200="Yes")),ROWS($A$93:A102)),"")</x:f>
      </x:c>
      <x:c r="G102">
        <x:f>IFERROR(INDEX(FILTER('Current Cycle Tracker'!$K$2:$K$200,('Current Cycle Tracker'!$B$2:$B$200="Person 2")*('Current Cycle Tracker'!$P$2:$P$200="Yes")),ROWS($A$93:A102)),"")</x:f>
      </x:c>
      <x:c r="H102">
        <x:f>IFERROR(INDEX(FILTER('Current Cycle Tracker'!$L$2:$L$200,('Current Cycle Tracker'!$B$2:$B$200="Person 2")*('Current Cycle Tracker'!$P$2:$P$200="Yes")),ROWS($A$93:A102)),"")</x:f>
      </x:c>
      <x:c r="I102">
        <x:f>IF(H102="","",IF(H102&gt;=1,"✅","☐"))</x:f>
      </x:c>
      <x:c r="J102">
        <x:f>IFERROR(INDEX(FILTER('Current Cycle Tracker'!$M$2:$M$200,('Current Cycle Tracker'!$B$2:$B$200="Person 2")*('Current Cycle Tracker'!$P$2:$P$200="Yes")),ROWS($A$93:A102)),"")</x:f>
      </x:c>
      <x:c r="K102">
        <x:f>IFERROR(INDEX(FILTER('Current Cycle Tracker'!$N$2:$N$200,('Current Cycle Tracker'!$B$2:$B$200="Person 2")*('Current Cycle Tracker'!$P$2:$P$200="Yes")),ROWS($A$93:A102)),"")</x:f>
      </x:c>
      <x:c r="L102">
        <x:f>IFERROR(INDEX(FILTER('Current Cycle Tracker'!$Q$2:$Q$200,('Current Cycle Tracker'!$B$2:$B$200="Person 2")*('Current Cycle Tracker'!$P$2:$P$200="Yes")),ROWS($A$93:A102)),"")</x:f>
      </x:c>
    </x:row>
    <x:row r="103">
      <x:c r="A103">
        <x:f>IFERROR(INDEX(FILTER('Current Cycle Tracker'!$C$2:$C$200,('Current Cycle Tracker'!$B$2:$B$200="Person 2")*('Current Cycle Tracker'!$P$2:$P$200="Yes")),ROWS($A$93:A103)),"")</x:f>
      </x:c>
      <x:c r="B103">
        <x:f>IFERROR(INDEX(FILTER('Current Cycle Tracker'!$D$2:$D$200,('Current Cycle Tracker'!$B$2:$B$200="Person 2")*('Current Cycle Tracker'!$P$2:$P$200="Yes")),ROWS($A$93:A103)),"")</x:f>
      </x:c>
      <x:c r="C103">
        <x:f>IFERROR(INDEX(FILTER('Current Cycle Tracker'!$G$2:$G$200,('Current Cycle Tracker'!$B$2:$B$200="Person 2")*('Current Cycle Tracker'!$P$2:$P$200="Yes")),ROWS($A$93:A103)),"")</x:f>
      </x:c>
      <x:c r="D103">
        <x:f>IFERROR(INDEX(FILTER('Current Cycle Tracker'!$H$2:$H$200,('Current Cycle Tracker'!$B$2:$B$200="Person 2")*('Current Cycle Tracker'!$P$2:$P$200="Yes")),ROWS($A$93:A103)),"")</x:f>
      </x:c>
      <x:c r="E103">
        <x:f>IFERROR(INDEX(FILTER('Current Cycle Tracker'!$I$2:$I$200,('Current Cycle Tracker'!$B$2:$B$200="Person 2")*('Current Cycle Tracker'!$P$2:$P$200="Yes")),ROWS($A$93:A103)),"")</x:f>
      </x:c>
      <x:c r="F103">
        <x:f>IFERROR(INDEX(FILTER('Current Cycle Tracker'!$J$2:$J$200,('Current Cycle Tracker'!$B$2:$B$200="Person 2")*('Current Cycle Tracker'!$P$2:$P$200="Yes")),ROWS($A$93:A103)),"")</x:f>
      </x:c>
      <x:c r="G103">
        <x:f>IFERROR(INDEX(FILTER('Current Cycle Tracker'!$K$2:$K$200,('Current Cycle Tracker'!$B$2:$B$200="Person 2")*('Current Cycle Tracker'!$P$2:$P$200="Yes")),ROWS($A$93:A103)),"")</x:f>
      </x:c>
      <x:c r="H103">
        <x:f>IFERROR(INDEX(FILTER('Current Cycle Tracker'!$L$2:$L$200,('Current Cycle Tracker'!$B$2:$B$200="Person 2")*('Current Cycle Tracker'!$P$2:$P$200="Yes")),ROWS($A$93:A103)),"")</x:f>
      </x:c>
      <x:c r="I103">
        <x:f>IF(H103="","",IF(H103&gt;=1,"✅","☐"))</x:f>
      </x:c>
      <x:c r="J103">
        <x:f>IFERROR(INDEX(FILTER('Current Cycle Tracker'!$M$2:$M$200,('Current Cycle Tracker'!$B$2:$B$200="Person 2")*('Current Cycle Tracker'!$P$2:$P$200="Yes")),ROWS($A$93:A103)),"")</x:f>
      </x:c>
      <x:c r="K103">
        <x:f>IFERROR(INDEX(FILTER('Current Cycle Tracker'!$N$2:$N$200,('Current Cycle Tracker'!$B$2:$B$200="Person 2")*('Current Cycle Tracker'!$P$2:$P$200="Yes")),ROWS($A$93:A103)),"")</x:f>
      </x:c>
      <x:c r="L103">
        <x:f>IFERROR(INDEX(FILTER('Current Cycle Tracker'!$Q$2:$Q$200,('Current Cycle Tracker'!$B$2:$B$200="Person 2")*('Current Cycle Tracker'!$P$2:$P$200="Yes")),ROWS($A$93:A103)),"")</x:f>
      </x:c>
    </x:row>
    <x:row r="104">
      <x:c r="A104">
        <x:f>IFERROR(INDEX(FILTER('Current Cycle Tracker'!$C$2:$C$200,('Current Cycle Tracker'!$B$2:$B$200="Person 2")*('Current Cycle Tracker'!$P$2:$P$200="Yes")),ROWS($A$93:A104)),"")</x:f>
      </x:c>
      <x:c r="B104">
        <x:f>IFERROR(INDEX(FILTER('Current Cycle Tracker'!$D$2:$D$200,('Current Cycle Tracker'!$B$2:$B$200="Person 2")*('Current Cycle Tracker'!$P$2:$P$200="Yes")),ROWS($A$93:A104)),"")</x:f>
      </x:c>
      <x:c r="C104">
        <x:f>IFERROR(INDEX(FILTER('Current Cycle Tracker'!$G$2:$G$200,('Current Cycle Tracker'!$B$2:$B$200="Person 2")*('Current Cycle Tracker'!$P$2:$P$200="Yes")),ROWS($A$93:A104)),"")</x:f>
      </x:c>
      <x:c r="D104">
        <x:f>IFERROR(INDEX(FILTER('Current Cycle Tracker'!$H$2:$H$200,('Current Cycle Tracker'!$B$2:$B$200="Person 2")*('Current Cycle Tracker'!$P$2:$P$200="Yes")),ROWS($A$93:A104)),"")</x:f>
      </x:c>
      <x:c r="E104">
        <x:f>IFERROR(INDEX(FILTER('Current Cycle Tracker'!$I$2:$I$200,('Current Cycle Tracker'!$B$2:$B$200="Person 2")*('Current Cycle Tracker'!$P$2:$P$200="Yes")),ROWS($A$93:A104)),"")</x:f>
      </x:c>
      <x:c r="F104">
        <x:f>IFERROR(INDEX(FILTER('Current Cycle Tracker'!$J$2:$J$200,('Current Cycle Tracker'!$B$2:$B$200="Person 2")*('Current Cycle Tracker'!$P$2:$P$200="Yes")),ROWS($A$93:A104)),"")</x:f>
      </x:c>
      <x:c r="G104">
        <x:f>IFERROR(INDEX(FILTER('Current Cycle Tracker'!$K$2:$K$200,('Current Cycle Tracker'!$B$2:$B$200="Person 2")*('Current Cycle Tracker'!$P$2:$P$200="Yes")),ROWS($A$93:A104)),"")</x:f>
      </x:c>
      <x:c r="H104">
        <x:f>IFERROR(INDEX(FILTER('Current Cycle Tracker'!$L$2:$L$200,('Current Cycle Tracker'!$B$2:$B$200="Person 2")*('Current Cycle Tracker'!$P$2:$P$200="Yes")),ROWS($A$93:A104)),"")</x:f>
      </x:c>
      <x:c r="I104">
        <x:f>IF(H104="","",IF(H104&gt;=1,"✅","☐"))</x:f>
      </x:c>
      <x:c r="J104">
        <x:f>IFERROR(INDEX(FILTER('Current Cycle Tracker'!$M$2:$M$200,('Current Cycle Tracker'!$B$2:$B$200="Person 2")*('Current Cycle Tracker'!$P$2:$P$200="Yes")),ROWS($A$93:A104)),"")</x:f>
      </x:c>
      <x:c r="K104">
        <x:f>IFERROR(INDEX(FILTER('Current Cycle Tracker'!$N$2:$N$200,('Current Cycle Tracker'!$B$2:$B$200="Person 2")*('Current Cycle Tracker'!$P$2:$P$200="Yes")),ROWS($A$93:A104)),"")</x:f>
      </x:c>
      <x:c r="L104">
        <x:f>IFERROR(INDEX(FILTER('Current Cycle Tracker'!$Q$2:$Q$200,('Current Cycle Tracker'!$B$2:$B$200="Person 2")*('Current Cycle Tracker'!$P$2:$P$200="Yes")),ROWS($A$93:A104)),"")</x:f>
      </x:c>
    </x:row>
    <x:row r="105">
      <x:c r="A105">
        <x:f>IFERROR(INDEX(FILTER('Current Cycle Tracker'!$C$2:$C$200,('Current Cycle Tracker'!$B$2:$B$200="Person 2")*('Current Cycle Tracker'!$P$2:$P$200="Yes")),ROWS($A$93:A105)),"")</x:f>
      </x:c>
      <x:c r="B105">
        <x:f>IFERROR(INDEX(FILTER('Current Cycle Tracker'!$D$2:$D$200,('Current Cycle Tracker'!$B$2:$B$200="Person 2")*('Current Cycle Tracker'!$P$2:$P$200="Yes")),ROWS($A$93:A105)),"")</x:f>
      </x:c>
      <x:c r="C105">
        <x:f>IFERROR(INDEX(FILTER('Current Cycle Tracker'!$G$2:$G$200,('Current Cycle Tracker'!$B$2:$B$200="Person 2")*('Current Cycle Tracker'!$P$2:$P$200="Yes")),ROWS($A$93:A105)),"")</x:f>
      </x:c>
      <x:c r="D105">
        <x:f>IFERROR(INDEX(FILTER('Current Cycle Tracker'!$H$2:$H$200,('Current Cycle Tracker'!$B$2:$B$200="Person 2")*('Current Cycle Tracker'!$P$2:$P$200="Yes")),ROWS($A$93:A105)),"")</x:f>
      </x:c>
      <x:c r="E105">
        <x:f>IFERROR(INDEX(FILTER('Current Cycle Tracker'!$I$2:$I$200,('Current Cycle Tracker'!$B$2:$B$200="Person 2")*('Current Cycle Tracker'!$P$2:$P$200="Yes")),ROWS($A$93:A105)),"")</x:f>
      </x:c>
      <x:c r="F105">
        <x:f>IFERROR(INDEX(FILTER('Current Cycle Tracker'!$J$2:$J$200,('Current Cycle Tracker'!$B$2:$B$200="Person 2")*('Current Cycle Tracker'!$P$2:$P$200="Yes")),ROWS($A$93:A105)),"")</x:f>
      </x:c>
      <x:c r="G105">
        <x:f>IFERROR(INDEX(FILTER('Current Cycle Tracker'!$K$2:$K$200,('Current Cycle Tracker'!$B$2:$B$200="Person 2")*('Current Cycle Tracker'!$P$2:$P$200="Yes")),ROWS($A$93:A105)),"")</x:f>
      </x:c>
      <x:c r="H105">
        <x:f>IFERROR(INDEX(FILTER('Current Cycle Tracker'!$L$2:$L$200,('Current Cycle Tracker'!$B$2:$B$200="Person 2")*('Current Cycle Tracker'!$P$2:$P$200="Yes")),ROWS($A$93:A105)),"")</x:f>
      </x:c>
      <x:c r="I105">
        <x:f>IF(H105="","",IF(H105&gt;=1,"✅","☐"))</x:f>
      </x:c>
      <x:c r="J105">
        <x:f>IFERROR(INDEX(FILTER('Current Cycle Tracker'!$M$2:$M$200,('Current Cycle Tracker'!$B$2:$B$200="Person 2")*('Current Cycle Tracker'!$P$2:$P$200="Yes")),ROWS($A$93:A105)),"")</x:f>
      </x:c>
      <x:c r="K105">
        <x:f>IFERROR(INDEX(FILTER('Current Cycle Tracker'!$N$2:$N$200,('Current Cycle Tracker'!$B$2:$B$200="Person 2")*('Current Cycle Tracker'!$P$2:$P$200="Yes")),ROWS($A$93:A105)),"")</x:f>
      </x:c>
      <x:c r="L105">
        <x:f>IFERROR(INDEX(FILTER('Current Cycle Tracker'!$Q$2:$Q$200,('Current Cycle Tracker'!$B$2:$B$200="Person 2")*('Current Cycle Tracker'!$P$2:$P$200="Yes")),ROWS($A$93:A105)),"")</x:f>
      </x:c>
    </x:row>
    <x:row r="106">
      <x:c r="A106">
        <x:f>IFERROR(INDEX(FILTER('Current Cycle Tracker'!$C$2:$C$200,('Current Cycle Tracker'!$B$2:$B$200="Person 2")*('Current Cycle Tracker'!$P$2:$P$200="Yes")),ROWS($A$93:A106)),"")</x:f>
      </x:c>
      <x:c r="B106">
        <x:f>IFERROR(INDEX(FILTER('Current Cycle Tracker'!$D$2:$D$200,('Current Cycle Tracker'!$B$2:$B$200="Person 2")*('Current Cycle Tracker'!$P$2:$P$200="Yes")),ROWS($A$93:A106)),"")</x:f>
      </x:c>
      <x:c r="C106">
        <x:f>IFERROR(INDEX(FILTER('Current Cycle Tracker'!$G$2:$G$200,('Current Cycle Tracker'!$B$2:$B$200="Person 2")*('Current Cycle Tracker'!$P$2:$P$200="Yes")),ROWS($A$93:A106)),"")</x:f>
      </x:c>
      <x:c r="D106">
        <x:f>IFERROR(INDEX(FILTER('Current Cycle Tracker'!$H$2:$H$200,('Current Cycle Tracker'!$B$2:$B$200="Person 2")*('Current Cycle Tracker'!$P$2:$P$200="Yes")),ROWS($A$93:A106)),"")</x:f>
      </x:c>
      <x:c r="E106">
        <x:f>IFERROR(INDEX(FILTER('Current Cycle Tracker'!$I$2:$I$200,('Current Cycle Tracker'!$B$2:$B$200="Person 2")*('Current Cycle Tracker'!$P$2:$P$200="Yes")),ROWS($A$93:A106)),"")</x:f>
      </x:c>
      <x:c r="F106">
        <x:f>IFERROR(INDEX(FILTER('Current Cycle Tracker'!$J$2:$J$200,('Current Cycle Tracker'!$B$2:$B$200="Person 2")*('Current Cycle Tracker'!$P$2:$P$200="Yes")),ROWS($A$93:A106)),"")</x:f>
      </x:c>
      <x:c r="G106">
        <x:f>IFERROR(INDEX(FILTER('Current Cycle Tracker'!$K$2:$K$200,('Current Cycle Tracker'!$B$2:$B$200="Person 2")*('Current Cycle Tracker'!$P$2:$P$200="Yes")),ROWS($A$93:A106)),"")</x:f>
      </x:c>
      <x:c r="H106">
        <x:f>IFERROR(INDEX(FILTER('Current Cycle Tracker'!$L$2:$L$200,('Current Cycle Tracker'!$B$2:$B$200="Person 2")*('Current Cycle Tracker'!$P$2:$P$200="Yes")),ROWS($A$93:A106)),"")</x:f>
      </x:c>
      <x:c r="I106">
        <x:f>IF(H106="","",IF(H106&gt;=1,"✅","☐"))</x:f>
      </x:c>
      <x:c r="J106">
        <x:f>IFERROR(INDEX(FILTER('Current Cycle Tracker'!$M$2:$M$200,('Current Cycle Tracker'!$B$2:$B$200="Person 2")*('Current Cycle Tracker'!$P$2:$P$200="Yes")),ROWS($A$93:A106)),"")</x:f>
      </x:c>
      <x:c r="K106">
        <x:f>IFERROR(INDEX(FILTER('Current Cycle Tracker'!$N$2:$N$200,('Current Cycle Tracker'!$B$2:$B$200="Person 2")*('Current Cycle Tracker'!$P$2:$P$200="Yes")),ROWS($A$93:A106)),"")</x:f>
      </x:c>
      <x:c r="L106">
        <x:f>IFERROR(INDEX(FILTER('Current Cycle Tracker'!$Q$2:$Q$200,('Current Cycle Tracker'!$B$2:$B$200="Person 2")*('Current Cycle Tracker'!$P$2:$P$200="Yes")),ROWS($A$93:A106)),"")</x:f>
      </x:c>
    </x:row>
    <x:row r="107">
      <x:c r="A107">
        <x:f>IFERROR(INDEX(FILTER('Current Cycle Tracker'!$C$2:$C$200,('Current Cycle Tracker'!$B$2:$B$200="Person 2")*('Current Cycle Tracker'!$P$2:$P$200="Yes")),ROWS($A$93:A107)),"")</x:f>
      </x:c>
      <x:c r="B107">
        <x:f>IFERROR(INDEX(FILTER('Current Cycle Tracker'!$D$2:$D$200,('Current Cycle Tracker'!$B$2:$B$200="Person 2")*('Current Cycle Tracker'!$P$2:$P$200="Yes")),ROWS($A$93:A107)),"")</x:f>
      </x:c>
      <x:c r="C107">
        <x:f>IFERROR(INDEX(FILTER('Current Cycle Tracker'!$G$2:$G$200,('Current Cycle Tracker'!$B$2:$B$200="Person 2")*('Current Cycle Tracker'!$P$2:$P$200="Yes")),ROWS($A$93:A107)),"")</x:f>
      </x:c>
      <x:c r="D107">
        <x:f>IFERROR(INDEX(FILTER('Current Cycle Tracker'!$H$2:$H$200,('Current Cycle Tracker'!$B$2:$B$200="Person 2")*('Current Cycle Tracker'!$P$2:$P$200="Yes")),ROWS($A$93:A107)),"")</x:f>
      </x:c>
      <x:c r="E107">
        <x:f>IFERROR(INDEX(FILTER('Current Cycle Tracker'!$I$2:$I$200,('Current Cycle Tracker'!$B$2:$B$200="Person 2")*('Current Cycle Tracker'!$P$2:$P$200="Yes")),ROWS($A$93:A107)),"")</x:f>
      </x:c>
      <x:c r="F107">
        <x:f>IFERROR(INDEX(FILTER('Current Cycle Tracker'!$J$2:$J$200,('Current Cycle Tracker'!$B$2:$B$200="Person 2")*('Current Cycle Tracker'!$P$2:$P$200="Yes")),ROWS($A$93:A107)),"")</x:f>
      </x:c>
      <x:c r="G107">
        <x:f>IFERROR(INDEX(FILTER('Current Cycle Tracker'!$K$2:$K$200,('Current Cycle Tracker'!$B$2:$B$200="Person 2")*('Current Cycle Tracker'!$P$2:$P$200="Yes")),ROWS($A$93:A107)),"")</x:f>
      </x:c>
      <x:c r="H107">
        <x:f>IFERROR(INDEX(FILTER('Current Cycle Tracker'!$L$2:$L$200,('Current Cycle Tracker'!$B$2:$B$200="Person 2")*('Current Cycle Tracker'!$P$2:$P$200="Yes")),ROWS($A$93:A107)),"")</x:f>
      </x:c>
      <x:c r="I107">
        <x:f>IF(H107="","",IF(H107&gt;=1,"✅","☐"))</x:f>
      </x:c>
      <x:c r="J107">
        <x:f>IFERROR(INDEX(FILTER('Current Cycle Tracker'!$M$2:$M$200,('Current Cycle Tracker'!$B$2:$B$200="Person 2")*('Current Cycle Tracker'!$P$2:$P$200="Yes")),ROWS($A$93:A107)),"")</x:f>
      </x:c>
      <x:c r="K107">
        <x:f>IFERROR(INDEX(FILTER('Current Cycle Tracker'!$N$2:$N$200,('Current Cycle Tracker'!$B$2:$B$200="Person 2")*('Current Cycle Tracker'!$P$2:$P$200="Yes")),ROWS($A$93:A107)),"")</x:f>
      </x:c>
      <x:c r="L107">
        <x:f>IFERROR(INDEX(FILTER('Current Cycle Tracker'!$Q$2:$Q$200,('Current Cycle Tracker'!$B$2:$B$200="Person 2")*('Current Cycle Tracker'!$P$2:$P$200="Yes")),ROWS($A$93:A107)),"")</x:f>
      </x:c>
    </x:row>
    <x:row r="108">
      <x:c r="A108">
        <x:f>IFERROR(INDEX(FILTER('Current Cycle Tracker'!$C$2:$C$200,('Current Cycle Tracker'!$B$2:$B$200="Person 2")*('Current Cycle Tracker'!$P$2:$P$200="Yes")),ROWS($A$93:A108)),"")</x:f>
      </x:c>
      <x:c r="B108">
        <x:f>IFERROR(INDEX(FILTER('Current Cycle Tracker'!$D$2:$D$200,('Current Cycle Tracker'!$B$2:$B$200="Person 2")*('Current Cycle Tracker'!$P$2:$P$200="Yes")),ROWS($A$93:A108)),"")</x:f>
      </x:c>
      <x:c r="C108">
        <x:f>IFERROR(INDEX(FILTER('Current Cycle Tracker'!$G$2:$G$200,('Current Cycle Tracker'!$B$2:$B$200="Person 2")*('Current Cycle Tracker'!$P$2:$P$200="Yes")),ROWS($A$93:A108)),"")</x:f>
      </x:c>
      <x:c r="D108">
        <x:f>IFERROR(INDEX(FILTER('Current Cycle Tracker'!$H$2:$H$200,('Current Cycle Tracker'!$B$2:$B$200="Person 2")*('Current Cycle Tracker'!$P$2:$P$200="Yes")),ROWS($A$93:A108)),"")</x:f>
      </x:c>
      <x:c r="E108">
        <x:f>IFERROR(INDEX(FILTER('Current Cycle Tracker'!$I$2:$I$200,('Current Cycle Tracker'!$B$2:$B$200="Person 2")*('Current Cycle Tracker'!$P$2:$P$200="Yes")),ROWS($A$93:A108)),"")</x:f>
      </x:c>
      <x:c r="F108">
        <x:f>IFERROR(INDEX(FILTER('Current Cycle Tracker'!$J$2:$J$200,('Current Cycle Tracker'!$B$2:$B$200="Person 2")*('Current Cycle Tracker'!$P$2:$P$200="Yes")),ROWS($A$93:A108)),"")</x:f>
      </x:c>
      <x:c r="G108">
        <x:f>IFERROR(INDEX(FILTER('Current Cycle Tracker'!$K$2:$K$200,('Current Cycle Tracker'!$B$2:$B$200="Person 2")*('Current Cycle Tracker'!$P$2:$P$200="Yes")),ROWS($A$93:A108)),"")</x:f>
      </x:c>
      <x:c r="H108">
        <x:f>IFERROR(INDEX(FILTER('Current Cycle Tracker'!$L$2:$L$200,('Current Cycle Tracker'!$B$2:$B$200="Person 2")*('Current Cycle Tracker'!$P$2:$P$200="Yes")),ROWS($A$93:A108)),"")</x:f>
      </x:c>
      <x:c r="I108">
        <x:f>IF(H108="","",IF(H108&gt;=1,"✅","☐"))</x:f>
      </x:c>
      <x:c r="J108">
        <x:f>IFERROR(INDEX(FILTER('Current Cycle Tracker'!$M$2:$M$200,('Current Cycle Tracker'!$B$2:$B$200="Person 2")*('Current Cycle Tracker'!$P$2:$P$200="Yes")),ROWS($A$93:A108)),"")</x:f>
      </x:c>
      <x:c r="K108">
        <x:f>IFERROR(INDEX(FILTER('Current Cycle Tracker'!$N$2:$N$200,('Current Cycle Tracker'!$B$2:$B$200="Person 2")*('Current Cycle Tracker'!$P$2:$P$200="Yes")),ROWS($A$93:A108)),"")</x:f>
      </x:c>
      <x:c r="L108">
        <x:f>IFERROR(INDEX(FILTER('Current Cycle Tracker'!$Q$2:$Q$200,('Current Cycle Tracker'!$B$2:$B$200="Person 2")*('Current Cycle Tracker'!$P$2:$P$200="Yes")),ROWS($A$93:A108)),"")</x:f>
      </x:c>
    </x:row>
    <x:row r="109">
      <x:c r="A109">
        <x:f>IFERROR(INDEX(FILTER('Current Cycle Tracker'!$C$2:$C$200,('Current Cycle Tracker'!$B$2:$B$200="Person 2")*('Current Cycle Tracker'!$P$2:$P$200="Yes")),ROWS($A$93:A109)),"")</x:f>
      </x:c>
      <x:c r="B109">
        <x:f>IFERROR(INDEX(FILTER('Current Cycle Tracker'!$D$2:$D$200,('Current Cycle Tracker'!$B$2:$B$200="Person 2")*('Current Cycle Tracker'!$P$2:$P$200="Yes")),ROWS($A$93:A109)),"")</x:f>
      </x:c>
      <x:c r="C109">
        <x:f>IFERROR(INDEX(FILTER('Current Cycle Tracker'!$G$2:$G$200,('Current Cycle Tracker'!$B$2:$B$200="Person 2")*('Current Cycle Tracker'!$P$2:$P$200="Yes")),ROWS($A$93:A109)),"")</x:f>
      </x:c>
      <x:c r="D109">
        <x:f>IFERROR(INDEX(FILTER('Current Cycle Tracker'!$H$2:$H$200,('Current Cycle Tracker'!$B$2:$B$200="Person 2")*('Current Cycle Tracker'!$P$2:$P$200="Yes")),ROWS($A$93:A109)),"")</x:f>
      </x:c>
      <x:c r="E109">
        <x:f>IFERROR(INDEX(FILTER('Current Cycle Tracker'!$I$2:$I$200,('Current Cycle Tracker'!$B$2:$B$200="Person 2")*('Current Cycle Tracker'!$P$2:$P$200="Yes")),ROWS($A$93:A109)),"")</x:f>
      </x:c>
      <x:c r="F109">
        <x:f>IFERROR(INDEX(FILTER('Current Cycle Tracker'!$J$2:$J$200,('Current Cycle Tracker'!$B$2:$B$200="Person 2")*('Current Cycle Tracker'!$P$2:$P$200="Yes")),ROWS($A$93:A109)),"")</x:f>
      </x:c>
      <x:c r="G109">
        <x:f>IFERROR(INDEX(FILTER('Current Cycle Tracker'!$K$2:$K$200,('Current Cycle Tracker'!$B$2:$B$200="Person 2")*('Current Cycle Tracker'!$P$2:$P$200="Yes")),ROWS($A$93:A109)),"")</x:f>
      </x:c>
      <x:c r="H109">
        <x:f>IFERROR(INDEX(FILTER('Current Cycle Tracker'!$L$2:$L$200,('Current Cycle Tracker'!$B$2:$B$200="Person 2")*('Current Cycle Tracker'!$P$2:$P$200="Yes")),ROWS($A$93:A109)),"")</x:f>
      </x:c>
      <x:c r="I109">
        <x:f>IF(H109="","",IF(H109&gt;=1,"✅","☐"))</x:f>
      </x:c>
      <x:c r="J109">
        <x:f>IFERROR(INDEX(FILTER('Current Cycle Tracker'!$M$2:$M$200,('Current Cycle Tracker'!$B$2:$B$200="Person 2")*('Current Cycle Tracker'!$P$2:$P$200="Yes")),ROWS($A$93:A109)),"")</x:f>
      </x:c>
      <x:c r="K109">
        <x:f>IFERROR(INDEX(FILTER('Current Cycle Tracker'!$N$2:$N$200,('Current Cycle Tracker'!$B$2:$B$200="Person 2")*('Current Cycle Tracker'!$P$2:$P$200="Yes")),ROWS($A$93:A109)),"")</x:f>
      </x:c>
      <x:c r="L109">
        <x:f>IFERROR(INDEX(FILTER('Current Cycle Tracker'!$Q$2:$Q$200,('Current Cycle Tracker'!$B$2:$B$200="Person 2")*('Current Cycle Tracker'!$P$2:$P$200="Yes")),ROWS($A$93:A109)),"")</x:f>
      </x:c>
    </x:row>
    <x:row r="110">
      <x:c r="A110">
        <x:f>IFERROR(INDEX(FILTER('Current Cycle Tracker'!$C$2:$C$200,('Current Cycle Tracker'!$B$2:$B$200="Person 2")*('Current Cycle Tracker'!$P$2:$P$200="Yes")),ROWS($A$93:A110)),"")</x:f>
      </x:c>
      <x:c r="B110">
        <x:f>IFERROR(INDEX(FILTER('Current Cycle Tracker'!$D$2:$D$200,('Current Cycle Tracker'!$B$2:$B$200="Person 2")*('Current Cycle Tracker'!$P$2:$P$200="Yes")),ROWS($A$93:A110)),"")</x:f>
      </x:c>
      <x:c r="C110">
        <x:f>IFERROR(INDEX(FILTER('Current Cycle Tracker'!$G$2:$G$200,('Current Cycle Tracker'!$B$2:$B$200="Person 2")*('Current Cycle Tracker'!$P$2:$P$200="Yes")),ROWS($A$93:A110)),"")</x:f>
      </x:c>
      <x:c r="D110">
        <x:f>IFERROR(INDEX(FILTER('Current Cycle Tracker'!$H$2:$H$200,('Current Cycle Tracker'!$B$2:$B$200="Person 2")*('Current Cycle Tracker'!$P$2:$P$200="Yes")),ROWS($A$93:A110)),"")</x:f>
      </x:c>
      <x:c r="E110">
        <x:f>IFERROR(INDEX(FILTER('Current Cycle Tracker'!$I$2:$I$200,('Current Cycle Tracker'!$B$2:$B$200="Person 2")*('Current Cycle Tracker'!$P$2:$P$200="Yes")),ROWS($A$93:A110)),"")</x:f>
      </x:c>
      <x:c r="F110">
        <x:f>IFERROR(INDEX(FILTER('Current Cycle Tracker'!$J$2:$J$200,('Current Cycle Tracker'!$B$2:$B$200="Person 2")*('Current Cycle Tracker'!$P$2:$P$200="Yes")),ROWS($A$93:A110)),"")</x:f>
      </x:c>
      <x:c r="G110">
        <x:f>IFERROR(INDEX(FILTER('Current Cycle Tracker'!$K$2:$K$200,('Current Cycle Tracker'!$B$2:$B$200="Person 2")*('Current Cycle Tracker'!$P$2:$P$200="Yes")),ROWS($A$93:A110)),"")</x:f>
      </x:c>
      <x:c r="H110">
        <x:f>IFERROR(INDEX(FILTER('Current Cycle Tracker'!$L$2:$L$200,('Current Cycle Tracker'!$B$2:$B$200="Person 2")*('Current Cycle Tracker'!$P$2:$P$200="Yes")),ROWS($A$93:A110)),"")</x:f>
      </x:c>
      <x:c r="I110">
        <x:f>IF(H110="","",IF(H110&gt;=1,"✅","☐"))</x:f>
      </x:c>
      <x:c r="J110">
        <x:f>IFERROR(INDEX(FILTER('Current Cycle Tracker'!$M$2:$M$200,('Current Cycle Tracker'!$B$2:$B$200="Person 2")*('Current Cycle Tracker'!$P$2:$P$200="Yes")),ROWS($A$93:A110)),"")</x:f>
      </x:c>
      <x:c r="K110">
        <x:f>IFERROR(INDEX(FILTER('Current Cycle Tracker'!$N$2:$N$200,('Current Cycle Tracker'!$B$2:$B$200="Person 2")*('Current Cycle Tracker'!$P$2:$P$200="Yes")),ROWS($A$93:A110)),"")</x:f>
      </x:c>
      <x:c r="L110">
        <x:f>IFERROR(INDEX(FILTER('Current Cycle Tracker'!$Q$2:$Q$200,('Current Cycle Tracker'!$B$2:$B$200="Person 2")*('Current Cycle Tracker'!$P$2:$P$200="Yes")),ROWS($A$93:A110)),"")</x:f>
      </x:c>
    </x:row>
    <x:row r="111">
      <x:c r="A111">
        <x:f>IFERROR(INDEX(FILTER('Current Cycle Tracker'!$C$2:$C$200,('Current Cycle Tracker'!$B$2:$B$200="Person 2")*('Current Cycle Tracker'!$P$2:$P$200="Yes")),ROWS($A$93:A111)),"")</x:f>
      </x:c>
      <x:c r="B111">
        <x:f>IFERROR(INDEX(FILTER('Current Cycle Tracker'!$D$2:$D$200,('Current Cycle Tracker'!$B$2:$B$200="Person 2")*('Current Cycle Tracker'!$P$2:$P$200="Yes")),ROWS($A$93:A111)),"")</x:f>
      </x:c>
      <x:c r="C111">
        <x:f>IFERROR(INDEX(FILTER('Current Cycle Tracker'!$G$2:$G$200,('Current Cycle Tracker'!$B$2:$B$200="Person 2")*('Current Cycle Tracker'!$P$2:$P$200="Yes")),ROWS($A$93:A111)),"")</x:f>
      </x:c>
      <x:c r="D111">
        <x:f>IFERROR(INDEX(FILTER('Current Cycle Tracker'!$H$2:$H$200,('Current Cycle Tracker'!$B$2:$B$200="Person 2")*('Current Cycle Tracker'!$P$2:$P$200="Yes")),ROWS($A$93:A111)),"")</x:f>
      </x:c>
      <x:c r="E111">
        <x:f>IFERROR(INDEX(FILTER('Current Cycle Tracker'!$I$2:$I$200,('Current Cycle Tracker'!$B$2:$B$200="Person 2")*('Current Cycle Tracker'!$P$2:$P$200="Yes")),ROWS($A$93:A111)),"")</x:f>
      </x:c>
      <x:c r="F111">
        <x:f>IFERROR(INDEX(FILTER('Current Cycle Tracker'!$J$2:$J$200,('Current Cycle Tracker'!$B$2:$B$200="Person 2")*('Current Cycle Tracker'!$P$2:$P$200="Yes")),ROWS($A$93:A111)),"")</x:f>
      </x:c>
      <x:c r="G111">
        <x:f>IFERROR(INDEX(FILTER('Current Cycle Tracker'!$K$2:$K$200,('Current Cycle Tracker'!$B$2:$B$200="Person 2")*('Current Cycle Tracker'!$P$2:$P$200="Yes")),ROWS($A$93:A111)),"")</x:f>
      </x:c>
      <x:c r="H111">
        <x:f>IFERROR(INDEX(FILTER('Current Cycle Tracker'!$L$2:$L$200,('Current Cycle Tracker'!$B$2:$B$200="Person 2")*('Current Cycle Tracker'!$P$2:$P$200="Yes")),ROWS($A$93:A111)),"")</x:f>
      </x:c>
      <x:c r="I111">
        <x:f>IF(H111="","",IF(H111&gt;=1,"✅","☐"))</x:f>
      </x:c>
      <x:c r="J111">
        <x:f>IFERROR(INDEX(FILTER('Current Cycle Tracker'!$M$2:$M$200,('Current Cycle Tracker'!$B$2:$B$200="Person 2")*('Current Cycle Tracker'!$P$2:$P$200="Yes")),ROWS($A$93:A111)),"")</x:f>
      </x:c>
      <x:c r="K111">
        <x:f>IFERROR(INDEX(FILTER('Current Cycle Tracker'!$N$2:$N$200,('Current Cycle Tracker'!$B$2:$B$200="Person 2")*('Current Cycle Tracker'!$P$2:$P$200="Yes")),ROWS($A$93:A111)),"")</x:f>
      </x:c>
      <x:c r="L111">
        <x:f>IFERROR(INDEX(FILTER('Current Cycle Tracker'!$Q$2:$Q$200,('Current Cycle Tracker'!$B$2:$B$200="Person 2")*('Current Cycle Tracker'!$P$2:$P$200="Yes")),ROWS($A$93:A111)),"")</x:f>
      </x:c>
    </x:row>
    <x:row r="112">
      <x:c r="A112">
        <x:f>IFERROR(INDEX(FILTER('Current Cycle Tracker'!$C$2:$C$200,('Current Cycle Tracker'!$B$2:$B$200="Person 2")*('Current Cycle Tracker'!$P$2:$P$200="Yes")),ROWS($A$93:A112)),"")</x:f>
      </x:c>
      <x:c r="B112">
        <x:f>IFERROR(INDEX(FILTER('Current Cycle Tracker'!$D$2:$D$200,('Current Cycle Tracker'!$B$2:$B$200="Person 2")*('Current Cycle Tracker'!$P$2:$P$200="Yes")),ROWS($A$93:A112)),"")</x:f>
      </x:c>
      <x:c r="C112">
        <x:f>IFERROR(INDEX(FILTER('Current Cycle Tracker'!$G$2:$G$200,('Current Cycle Tracker'!$B$2:$B$200="Person 2")*('Current Cycle Tracker'!$P$2:$P$200="Yes")),ROWS($A$93:A112)),"")</x:f>
      </x:c>
      <x:c r="D112">
        <x:f>IFERROR(INDEX(FILTER('Current Cycle Tracker'!$H$2:$H$200,('Current Cycle Tracker'!$B$2:$B$200="Person 2")*('Current Cycle Tracker'!$P$2:$P$200="Yes")),ROWS($A$93:A112)),"")</x:f>
      </x:c>
      <x:c r="E112">
        <x:f>IFERROR(INDEX(FILTER('Current Cycle Tracker'!$I$2:$I$200,('Current Cycle Tracker'!$B$2:$B$200="Person 2")*('Current Cycle Tracker'!$P$2:$P$200="Yes")),ROWS($A$93:A112)),"")</x:f>
      </x:c>
      <x:c r="F112">
        <x:f>IFERROR(INDEX(FILTER('Current Cycle Tracker'!$J$2:$J$200,('Current Cycle Tracker'!$B$2:$B$200="Person 2")*('Current Cycle Tracker'!$P$2:$P$200="Yes")),ROWS($A$93:A112)),"")</x:f>
      </x:c>
      <x:c r="G112">
        <x:f>IFERROR(INDEX(FILTER('Current Cycle Tracker'!$K$2:$K$200,('Current Cycle Tracker'!$B$2:$B$200="Person 2")*('Current Cycle Tracker'!$P$2:$P$200="Yes")),ROWS($A$93:A112)),"")</x:f>
      </x:c>
      <x:c r="H112">
        <x:f>IFERROR(INDEX(FILTER('Current Cycle Tracker'!$L$2:$L$200,('Current Cycle Tracker'!$B$2:$B$200="Person 2")*('Current Cycle Tracker'!$P$2:$P$200="Yes")),ROWS($A$93:A112)),"")</x:f>
      </x:c>
      <x:c r="I112">
        <x:f>IF(H112="","",IF(H112&gt;=1,"✅","☐"))</x:f>
      </x:c>
      <x:c r="J112">
        <x:f>IFERROR(INDEX(FILTER('Current Cycle Tracker'!$M$2:$M$200,('Current Cycle Tracker'!$B$2:$B$200="Person 2")*('Current Cycle Tracker'!$P$2:$P$200="Yes")),ROWS($A$93:A112)),"")</x:f>
      </x:c>
      <x:c r="K112">
        <x:f>IFERROR(INDEX(FILTER('Current Cycle Tracker'!$N$2:$N$200,('Current Cycle Tracker'!$B$2:$B$200="Person 2")*('Current Cycle Tracker'!$P$2:$P$200="Yes")),ROWS($A$93:A112)),"")</x:f>
      </x:c>
      <x:c r="L112">
        <x:f>IFERROR(INDEX(FILTER('Current Cycle Tracker'!$Q$2:$Q$200,('Current Cycle Tracker'!$B$2:$B$200="Person 2")*('Current Cycle Tracker'!$P$2:$P$200="Yes")),ROWS($A$93:A112)),"")</x:f>
      </x:c>
    </x:row>
    <x:row r="113">
      <x:c r="A113">
        <x:f>IFERROR(INDEX(FILTER('Current Cycle Tracker'!$C$2:$C$200,('Current Cycle Tracker'!$B$2:$B$200="Person 2")*('Current Cycle Tracker'!$P$2:$P$200="Yes")),ROWS($A$93:A113)),"")</x:f>
      </x:c>
      <x:c r="B113">
        <x:f>IFERROR(INDEX(FILTER('Current Cycle Tracker'!$D$2:$D$200,('Current Cycle Tracker'!$B$2:$B$200="Person 2")*('Current Cycle Tracker'!$P$2:$P$200="Yes")),ROWS($A$93:A113)),"")</x:f>
      </x:c>
      <x:c r="C113">
        <x:f>IFERROR(INDEX(FILTER('Current Cycle Tracker'!$G$2:$G$200,('Current Cycle Tracker'!$B$2:$B$200="Person 2")*('Current Cycle Tracker'!$P$2:$P$200="Yes")),ROWS($A$93:A113)),"")</x:f>
      </x:c>
      <x:c r="D113">
        <x:f>IFERROR(INDEX(FILTER('Current Cycle Tracker'!$H$2:$H$200,('Current Cycle Tracker'!$B$2:$B$200="Person 2")*('Current Cycle Tracker'!$P$2:$P$200="Yes")),ROWS($A$93:A113)),"")</x:f>
      </x:c>
      <x:c r="E113">
        <x:f>IFERROR(INDEX(FILTER('Current Cycle Tracker'!$I$2:$I$200,('Current Cycle Tracker'!$B$2:$B$200="Person 2")*('Current Cycle Tracker'!$P$2:$P$200="Yes")),ROWS($A$93:A113)),"")</x:f>
      </x:c>
      <x:c r="F113">
        <x:f>IFERROR(INDEX(FILTER('Current Cycle Tracker'!$J$2:$J$200,('Current Cycle Tracker'!$B$2:$B$200="Person 2")*('Current Cycle Tracker'!$P$2:$P$200="Yes")),ROWS($A$93:A113)),"")</x:f>
      </x:c>
      <x:c r="G113">
        <x:f>IFERROR(INDEX(FILTER('Current Cycle Tracker'!$K$2:$K$200,('Current Cycle Tracker'!$B$2:$B$200="Person 2")*('Current Cycle Tracker'!$P$2:$P$200="Yes")),ROWS($A$93:A113)),"")</x:f>
      </x:c>
      <x:c r="H113">
        <x:f>IFERROR(INDEX(FILTER('Current Cycle Tracker'!$L$2:$L$200,('Current Cycle Tracker'!$B$2:$B$200="Person 2")*('Current Cycle Tracker'!$P$2:$P$200="Yes")),ROWS($A$93:A113)),"")</x:f>
      </x:c>
      <x:c r="I113">
        <x:f>IF(H113="","",IF(H113&gt;=1,"✅","☐"))</x:f>
      </x:c>
      <x:c r="J113">
        <x:f>IFERROR(INDEX(FILTER('Current Cycle Tracker'!$M$2:$M$200,('Current Cycle Tracker'!$B$2:$B$200="Person 2")*('Current Cycle Tracker'!$P$2:$P$200="Yes")),ROWS($A$93:A113)),"")</x:f>
      </x:c>
      <x:c r="K113">
        <x:f>IFERROR(INDEX(FILTER('Current Cycle Tracker'!$N$2:$N$200,('Current Cycle Tracker'!$B$2:$B$200="Person 2")*('Current Cycle Tracker'!$P$2:$P$200="Yes")),ROWS($A$93:A113)),"")</x:f>
      </x:c>
      <x:c r="L113">
        <x:f>IFERROR(INDEX(FILTER('Current Cycle Tracker'!$Q$2:$Q$200,('Current Cycle Tracker'!$B$2:$B$200="Person 2")*('Current Cycle Tracker'!$P$2:$P$200="Yes")),ROWS($A$93:A113)),"")</x:f>
      </x:c>
    </x:row>
    <x:row r="114">
      <x:c r="A114">
        <x:f>IFERROR(INDEX(FILTER('Current Cycle Tracker'!$C$2:$C$200,('Current Cycle Tracker'!$B$2:$B$200="Person 2")*('Current Cycle Tracker'!$P$2:$P$200="Yes")),ROWS($A$93:A114)),"")</x:f>
      </x:c>
      <x:c r="B114">
        <x:f>IFERROR(INDEX(FILTER('Current Cycle Tracker'!$D$2:$D$200,('Current Cycle Tracker'!$B$2:$B$200="Person 2")*('Current Cycle Tracker'!$P$2:$P$200="Yes")),ROWS($A$93:A114)),"")</x:f>
      </x:c>
      <x:c r="C114">
        <x:f>IFERROR(INDEX(FILTER('Current Cycle Tracker'!$G$2:$G$200,('Current Cycle Tracker'!$B$2:$B$200="Person 2")*('Current Cycle Tracker'!$P$2:$P$200="Yes")),ROWS($A$93:A114)),"")</x:f>
      </x:c>
      <x:c r="D114">
        <x:f>IFERROR(INDEX(FILTER('Current Cycle Tracker'!$H$2:$H$200,('Current Cycle Tracker'!$B$2:$B$200="Person 2")*('Current Cycle Tracker'!$P$2:$P$200="Yes")),ROWS($A$93:A114)),"")</x:f>
      </x:c>
      <x:c r="E114">
        <x:f>IFERROR(INDEX(FILTER('Current Cycle Tracker'!$I$2:$I$200,('Current Cycle Tracker'!$B$2:$B$200="Person 2")*('Current Cycle Tracker'!$P$2:$P$200="Yes")),ROWS($A$93:A114)),"")</x:f>
      </x:c>
      <x:c r="F114">
        <x:f>IFERROR(INDEX(FILTER('Current Cycle Tracker'!$J$2:$J$200,('Current Cycle Tracker'!$B$2:$B$200="Person 2")*('Current Cycle Tracker'!$P$2:$P$200="Yes")),ROWS($A$93:A114)),"")</x:f>
      </x:c>
      <x:c r="G114">
        <x:f>IFERROR(INDEX(FILTER('Current Cycle Tracker'!$K$2:$K$200,('Current Cycle Tracker'!$B$2:$B$200="Person 2")*('Current Cycle Tracker'!$P$2:$P$200="Yes")),ROWS($A$93:A114)),"")</x:f>
      </x:c>
      <x:c r="H114">
        <x:f>IFERROR(INDEX(FILTER('Current Cycle Tracker'!$L$2:$L$200,('Current Cycle Tracker'!$B$2:$B$200="Person 2")*('Current Cycle Tracker'!$P$2:$P$200="Yes")),ROWS($A$93:A114)),"")</x:f>
      </x:c>
      <x:c r="I114">
        <x:f>IF(H114="","",IF(H114&gt;=1,"✅","☐"))</x:f>
      </x:c>
      <x:c r="J114">
        <x:f>IFERROR(INDEX(FILTER('Current Cycle Tracker'!$M$2:$M$200,('Current Cycle Tracker'!$B$2:$B$200="Person 2")*('Current Cycle Tracker'!$P$2:$P$200="Yes")),ROWS($A$93:A114)),"")</x:f>
      </x:c>
      <x:c r="K114">
        <x:f>IFERROR(INDEX(FILTER('Current Cycle Tracker'!$N$2:$N$200,('Current Cycle Tracker'!$B$2:$B$200="Person 2")*('Current Cycle Tracker'!$P$2:$P$200="Yes")),ROWS($A$93:A114)),"")</x:f>
      </x:c>
      <x:c r="L114">
        <x:f>IFERROR(INDEX(FILTER('Current Cycle Tracker'!$Q$2:$Q$200,('Current Cycle Tracker'!$B$2:$B$200="Person 2")*('Current Cycle Tracker'!$P$2:$P$200="Yes")),ROWS($A$93:A114)),"")</x:f>
      </x:c>
    </x:row>
    <x:row r="115">
      <x:c r="A115">
        <x:f>IFERROR(INDEX(FILTER('Current Cycle Tracker'!$C$2:$C$200,('Current Cycle Tracker'!$B$2:$B$200="Person 2")*('Current Cycle Tracker'!$P$2:$P$200="Yes")),ROWS($A$93:A115)),"")</x:f>
      </x:c>
      <x:c r="B115">
        <x:f>IFERROR(INDEX(FILTER('Current Cycle Tracker'!$D$2:$D$200,('Current Cycle Tracker'!$B$2:$B$200="Person 2")*('Current Cycle Tracker'!$P$2:$P$200="Yes")),ROWS($A$93:A115)),"")</x:f>
      </x:c>
      <x:c r="C115">
        <x:f>IFERROR(INDEX(FILTER('Current Cycle Tracker'!$G$2:$G$200,('Current Cycle Tracker'!$B$2:$B$200="Person 2")*('Current Cycle Tracker'!$P$2:$P$200="Yes")),ROWS($A$93:A115)),"")</x:f>
      </x:c>
      <x:c r="D115">
        <x:f>IFERROR(INDEX(FILTER('Current Cycle Tracker'!$H$2:$H$200,('Current Cycle Tracker'!$B$2:$B$200="Person 2")*('Current Cycle Tracker'!$P$2:$P$200="Yes")),ROWS($A$93:A115)),"")</x:f>
      </x:c>
      <x:c r="E115">
        <x:f>IFERROR(INDEX(FILTER('Current Cycle Tracker'!$I$2:$I$200,('Current Cycle Tracker'!$B$2:$B$200="Person 2")*('Current Cycle Tracker'!$P$2:$P$200="Yes")),ROWS($A$93:A115)),"")</x:f>
      </x:c>
      <x:c r="F115">
        <x:f>IFERROR(INDEX(FILTER('Current Cycle Tracker'!$J$2:$J$200,('Current Cycle Tracker'!$B$2:$B$200="Person 2")*('Current Cycle Tracker'!$P$2:$P$200="Yes")),ROWS($A$93:A115)),"")</x:f>
      </x:c>
      <x:c r="G115">
        <x:f>IFERROR(INDEX(FILTER('Current Cycle Tracker'!$K$2:$K$200,('Current Cycle Tracker'!$B$2:$B$200="Person 2")*('Current Cycle Tracker'!$P$2:$P$200="Yes")),ROWS($A$93:A115)),"")</x:f>
      </x:c>
      <x:c r="H115">
        <x:f>IFERROR(INDEX(FILTER('Current Cycle Tracker'!$L$2:$L$200,('Current Cycle Tracker'!$B$2:$B$200="Person 2")*('Current Cycle Tracker'!$P$2:$P$200="Yes")),ROWS($A$93:A115)),"")</x:f>
      </x:c>
      <x:c r="I115">
        <x:f>IF(H115="","",IF(H115&gt;=1,"✅","☐"))</x:f>
      </x:c>
      <x:c r="J115">
        <x:f>IFERROR(INDEX(FILTER('Current Cycle Tracker'!$M$2:$M$200,('Current Cycle Tracker'!$B$2:$B$200="Person 2")*('Current Cycle Tracker'!$P$2:$P$200="Yes")),ROWS($A$93:A115)),"")</x:f>
      </x:c>
      <x:c r="K115">
        <x:f>IFERROR(INDEX(FILTER('Current Cycle Tracker'!$N$2:$N$200,('Current Cycle Tracker'!$B$2:$B$200="Person 2")*('Current Cycle Tracker'!$P$2:$P$200="Yes")),ROWS($A$93:A115)),"")</x:f>
      </x:c>
      <x:c r="L115">
        <x:f>IFERROR(INDEX(FILTER('Current Cycle Tracker'!$Q$2:$Q$200,('Current Cycle Tracker'!$B$2:$B$200="Person 2")*('Current Cycle Tracker'!$P$2:$P$200="Yes")),ROWS($A$93:A115)),"")</x:f>
      </x:c>
    </x:row>
    <x:row r="116">
      <x:c r="A116">
        <x:f>IFERROR(INDEX(FILTER('Current Cycle Tracker'!$C$2:$C$200,('Current Cycle Tracker'!$B$2:$B$200="Person 2")*('Current Cycle Tracker'!$P$2:$P$200="Yes")),ROWS($A$93:A116)),"")</x:f>
      </x:c>
      <x:c r="B116">
        <x:f>IFERROR(INDEX(FILTER('Current Cycle Tracker'!$D$2:$D$200,('Current Cycle Tracker'!$B$2:$B$200="Person 2")*('Current Cycle Tracker'!$P$2:$P$200="Yes")),ROWS($A$93:A116)),"")</x:f>
      </x:c>
      <x:c r="C116">
        <x:f>IFERROR(INDEX(FILTER('Current Cycle Tracker'!$G$2:$G$200,('Current Cycle Tracker'!$B$2:$B$200="Person 2")*('Current Cycle Tracker'!$P$2:$P$200="Yes")),ROWS($A$93:A116)),"")</x:f>
      </x:c>
      <x:c r="D116">
        <x:f>IFERROR(INDEX(FILTER('Current Cycle Tracker'!$H$2:$H$200,('Current Cycle Tracker'!$B$2:$B$200="Person 2")*('Current Cycle Tracker'!$P$2:$P$200="Yes")),ROWS($A$93:A116)),"")</x:f>
      </x:c>
      <x:c r="E116">
        <x:f>IFERROR(INDEX(FILTER('Current Cycle Tracker'!$I$2:$I$200,('Current Cycle Tracker'!$B$2:$B$200="Person 2")*('Current Cycle Tracker'!$P$2:$P$200="Yes")),ROWS($A$93:A116)),"")</x:f>
      </x:c>
      <x:c r="F116">
        <x:f>IFERROR(INDEX(FILTER('Current Cycle Tracker'!$J$2:$J$200,('Current Cycle Tracker'!$B$2:$B$200="Person 2")*('Current Cycle Tracker'!$P$2:$P$200="Yes")),ROWS($A$93:A116)),"")</x:f>
      </x:c>
      <x:c r="G116">
        <x:f>IFERROR(INDEX(FILTER('Current Cycle Tracker'!$K$2:$K$200,('Current Cycle Tracker'!$B$2:$B$200="Person 2")*('Current Cycle Tracker'!$P$2:$P$200="Yes")),ROWS($A$93:A116)),"")</x:f>
      </x:c>
      <x:c r="H116">
        <x:f>IFERROR(INDEX(FILTER('Current Cycle Tracker'!$L$2:$L$200,('Current Cycle Tracker'!$B$2:$B$200="Person 2")*('Current Cycle Tracker'!$P$2:$P$200="Yes")),ROWS($A$93:A116)),"")</x:f>
      </x:c>
      <x:c r="I116">
        <x:f>IF(H116="","",IF(H116&gt;=1,"✅","☐"))</x:f>
      </x:c>
      <x:c r="J116">
        <x:f>IFERROR(INDEX(FILTER('Current Cycle Tracker'!$M$2:$M$200,('Current Cycle Tracker'!$B$2:$B$200="Person 2")*('Current Cycle Tracker'!$P$2:$P$200="Yes")),ROWS($A$93:A116)),"")</x:f>
      </x:c>
      <x:c r="K116">
        <x:f>IFERROR(INDEX(FILTER('Current Cycle Tracker'!$N$2:$N$200,('Current Cycle Tracker'!$B$2:$B$200="Person 2")*('Current Cycle Tracker'!$P$2:$P$200="Yes")),ROWS($A$93:A116)),"")</x:f>
      </x:c>
      <x:c r="L116">
        <x:f>IFERROR(INDEX(FILTER('Current Cycle Tracker'!$Q$2:$Q$200,('Current Cycle Tracker'!$B$2:$B$200="Person 2")*('Current Cycle Tracker'!$P$2:$P$200="Yes")),ROWS($A$93:A116)),"")</x:f>
      </x:c>
    </x:row>
    <x:row r="117">
      <x:c r="A117">
        <x:f>IFERROR(INDEX(FILTER('Current Cycle Tracker'!$C$2:$C$200,('Current Cycle Tracker'!$B$2:$B$200="Person 2")*('Current Cycle Tracker'!$P$2:$P$200="Yes")),ROWS($A$93:A117)),"")</x:f>
      </x:c>
      <x:c r="B117">
        <x:f>IFERROR(INDEX(FILTER('Current Cycle Tracker'!$D$2:$D$200,('Current Cycle Tracker'!$B$2:$B$200="Person 2")*('Current Cycle Tracker'!$P$2:$P$200="Yes")),ROWS($A$93:A117)),"")</x:f>
      </x:c>
      <x:c r="C117">
        <x:f>IFERROR(INDEX(FILTER('Current Cycle Tracker'!$G$2:$G$200,('Current Cycle Tracker'!$B$2:$B$200="Person 2")*('Current Cycle Tracker'!$P$2:$P$200="Yes")),ROWS($A$93:A117)),"")</x:f>
      </x:c>
      <x:c r="D117">
        <x:f>IFERROR(INDEX(FILTER('Current Cycle Tracker'!$H$2:$H$200,('Current Cycle Tracker'!$B$2:$B$200="Person 2")*('Current Cycle Tracker'!$P$2:$P$200="Yes")),ROWS($A$93:A117)),"")</x:f>
      </x:c>
      <x:c r="E117">
        <x:f>IFERROR(INDEX(FILTER('Current Cycle Tracker'!$I$2:$I$200,('Current Cycle Tracker'!$B$2:$B$200="Person 2")*('Current Cycle Tracker'!$P$2:$P$200="Yes")),ROWS($A$93:A117)),"")</x:f>
      </x:c>
      <x:c r="F117">
        <x:f>IFERROR(INDEX(FILTER('Current Cycle Tracker'!$J$2:$J$200,('Current Cycle Tracker'!$B$2:$B$200="Person 2")*('Current Cycle Tracker'!$P$2:$P$200="Yes")),ROWS($A$93:A117)),"")</x:f>
      </x:c>
      <x:c r="G117">
        <x:f>IFERROR(INDEX(FILTER('Current Cycle Tracker'!$K$2:$K$200,('Current Cycle Tracker'!$B$2:$B$200="Person 2")*('Current Cycle Tracker'!$P$2:$P$200="Yes")),ROWS($A$93:A117)),"")</x:f>
      </x:c>
      <x:c r="H117">
        <x:f>IFERROR(INDEX(FILTER('Current Cycle Tracker'!$L$2:$L$200,('Current Cycle Tracker'!$B$2:$B$200="Person 2")*('Current Cycle Tracker'!$P$2:$P$200="Yes")),ROWS($A$93:A117)),"")</x:f>
      </x:c>
      <x:c r="I117">
        <x:f>IF(H117="","",IF(H117&gt;=1,"✅","☐"))</x:f>
      </x:c>
      <x:c r="J117">
        <x:f>IFERROR(INDEX(FILTER('Current Cycle Tracker'!$M$2:$M$200,('Current Cycle Tracker'!$B$2:$B$200="Person 2")*('Current Cycle Tracker'!$P$2:$P$200="Yes")),ROWS($A$93:A117)),"")</x:f>
      </x:c>
      <x:c r="K117">
        <x:f>IFERROR(INDEX(FILTER('Current Cycle Tracker'!$N$2:$N$200,('Current Cycle Tracker'!$B$2:$B$200="Person 2")*('Current Cycle Tracker'!$P$2:$P$200="Yes")),ROWS($A$93:A117)),"")</x:f>
      </x:c>
      <x:c r="L117">
        <x:f>IFERROR(INDEX(FILTER('Current Cycle Tracker'!$Q$2:$Q$200,('Current Cycle Tracker'!$B$2:$B$200="Person 2")*('Current Cycle Tracker'!$P$2:$P$200="Yes")),ROWS($A$93:A117)),"")</x:f>
      </x:c>
    </x:row>
    <x:row r="118">
      <x:c r="A118">
        <x:f>IFERROR(INDEX(FILTER('Current Cycle Tracker'!$C$2:$C$200,('Current Cycle Tracker'!$B$2:$B$200="Person 2")*('Current Cycle Tracker'!$P$2:$P$200="Yes")),ROWS($A$93:A118)),"")</x:f>
      </x:c>
      <x:c r="B118">
        <x:f>IFERROR(INDEX(FILTER('Current Cycle Tracker'!$D$2:$D$200,('Current Cycle Tracker'!$B$2:$B$200="Person 2")*('Current Cycle Tracker'!$P$2:$P$200="Yes")),ROWS($A$93:A118)),"")</x:f>
      </x:c>
      <x:c r="C118">
        <x:f>IFERROR(INDEX(FILTER('Current Cycle Tracker'!$G$2:$G$200,('Current Cycle Tracker'!$B$2:$B$200="Person 2")*('Current Cycle Tracker'!$P$2:$P$200="Yes")),ROWS($A$93:A118)),"")</x:f>
      </x:c>
      <x:c r="D118">
        <x:f>IFERROR(INDEX(FILTER('Current Cycle Tracker'!$H$2:$H$200,('Current Cycle Tracker'!$B$2:$B$200="Person 2")*('Current Cycle Tracker'!$P$2:$P$200="Yes")),ROWS($A$93:A118)),"")</x:f>
      </x:c>
      <x:c r="E118">
        <x:f>IFERROR(INDEX(FILTER('Current Cycle Tracker'!$I$2:$I$200,('Current Cycle Tracker'!$B$2:$B$200="Person 2")*('Current Cycle Tracker'!$P$2:$P$200="Yes")),ROWS($A$93:A118)),"")</x:f>
      </x:c>
      <x:c r="F118">
        <x:f>IFERROR(INDEX(FILTER('Current Cycle Tracker'!$J$2:$J$200,('Current Cycle Tracker'!$B$2:$B$200="Person 2")*('Current Cycle Tracker'!$P$2:$P$200="Yes")),ROWS($A$93:A118)),"")</x:f>
      </x:c>
      <x:c r="G118">
        <x:f>IFERROR(INDEX(FILTER('Current Cycle Tracker'!$K$2:$K$200,('Current Cycle Tracker'!$B$2:$B$200="Person 2")*('Current Cycle Tracker'!$P$2:$P$200="Yes")),ROWS($A$93:A118)),"")</x:f>
      </x:c>
      <x:c r="H118">
        <x:f>IFERROR(INDEX(FILTER('Current Cycle Tracker'!$L$2:$L$200,('Current Cycle Tracker'!$B$2:$B$200="Person 2")*('Current Cycle Tracker'!$P$2:$P$200="Yes")),ROWS($A$93:A118)),"")</x:f>
      </x:c>
      <x:c r="I118">
        <x:f>IF(H118="","",IF(H118&gt;=1,"✅","☐"))</x:f>
      </x:c>
      <x:c r="J118">
        <x:f>IFERROR(INDEX(FILTER('Current Cycle Tracker'!$M$2:$M$200,('Current Cycle Tracker'!$B$2:$B$200="Person 2")*('Current Cycle Tracker'!$P$2:$P$200="Yes")),ROWS($A$93:A118)),"")</x:f>
      </x:c>
      <x:c r="K118">
        <x:f>IFERROR(INDEX(FILTER('Current Cycle Tracker'!$N$2:$N$200,('Current Cycle Tracker'!$B$2:$B$200="Person 2")*('Current Cycle Tracker'!$P$2:$P$200="Yes")),ROWS($A$93:A118)),"")</x:f>
      </x:c>
      <x:c r="L118">
        <x:f>IFERROR(INDEX(FILTER('Current Cycle Tracker'!$Q$2:$Q$200,('Current Cycle Tracker'!$B$2:$B$200="Person 2")*('Current Cycle Tracker'!$P$2:$P$200="Yes")),ROWS($A$93:A118)),"")</x:f>
      </x:c>
    </x:row>
    <x:row r="119">
      <x:c r="A119">
        <x:f>IFERROR(INDEX(FILTER('Current Cycle Tracker'!$C$2:$C$200,('Current Cycle Tracker'!$B$2:$B$200="Person 2")*('Current Cycle Tracker'!$P$2:$P$200="Yes")),ROWS($A$93:A119)),"")</x:f>
      </x:c>
      <x:c r="B119">
        <x:f>IFERROR(INDEX(FILTER('Current Cycle Tracker'!$D$2:$D$200,('Current Cycle Tracker'!$B$2:$B$200="Person 2")*('Current Cycle Tracker'!$P$2:$P$200="Yes")),ROWS($A$93:A119)),"")</x:f>
      </x:c>
      <x:c r="C119">
        <x:f>IFERROR(INDEX(FILTER('Current Cycle Tracker'!$G$2:$G$200,('Current Cycle Tracker'!$B$2:$B$200="Person 2")*('Current Cycle Tracker'!$P$2:$P$200="Yes")),ROWS($A$93:A119)),"")</x:f>
      </x:c>
      <x:c r="D119">
        <x:f>IFERROR(INDEX(FILTER('Current Cycle Tracker'!$H$2:$H$200,('Current Cycle Tracker'!$B$2:$B$200="Person 2")*('Current Cycle Tracker'!$P$2:$P$200="Yes")),ROWS($A$93:A119)),"")</x:f>
      </x:c>
      <x:c r="E119">
        <x:f>IFERROR(INDEX(FILTER('Current Cycle Tracker'!$I$2:$I$200,('Current Cycle Tracker'!$B$2:$B$200="Person 2")*('Current Cycle Tracker'!$P$2:$P$200="Yes")),ROWS($A$93:A119)),"")</x:f>
      </x:c>
      <x:c r="F119">
        <x:f>IFERROR(INDEX(FILTER('Current Cycle Tracker'!$J$2:$J$200,('Current Cycle Tracker'!$B$2:$B$200="Person 2")*('Current Cycle Tracker'!$P$2:$P$200="Yes")),ROWS($A$93:A119)),"")</x:f>
      </x:c>
      <x:c r="G119">
        <x:f>IFERROR(INDEX(FILTER('Current Cycle Tracker'!$K$2:$K$200,('Current Cycle Tracker'!$B$2:$B$200="Person 2")*('Current Cycle Tracker'!$P$2:$P$200="Yes")),ROWS($A$93:A119)),"")</x:f>
      </x:c>
      <x:c r="H119">
        <x:f>IFERROR(INDEX(FILTER('Current Cycle Tracker'!$L$2:$L$200,('Current Cycle Tracker'!$B$2:$B$200="Person 2")*('Current Cycle Tracker'!$P$2:$P$200="Yes")),ROWS($A$93:A119)),"")</x:f>
      </x:c>
      <x:c r="I119">
        <x:f>IF(H119="","",IF(H119&gt;=1,"✅","☐"))</x:f>
      </x:c>
      <x:c r="J119">
        <x:f>IFERROR(INDEX(FILTER('Current Cycle Tracker'!$M$2:$M$200,('Current Cycle Tracker'!$B$2:$B$200="Person 2")*('Current Cycle Tracker'!$P$2:$P$200="Yes")),ROWS($A$93:A119)),"")</x:f>
      </x:c>
      <x:c r="K119">
        <x:f>IFERROR(INDEX(FILTER('Current Cycle Tracker'!$N$2:$N$200,('Current Cycle Tracker'!$B$2:$B$200="Person 2")*('Current Cycle Tracker'!$P$2:$P$200="Yes")),ROWS($A$93:A119)),"")</x:f>
      </x:c>
      <x:c r="L119">
        <x:f>IFERROR(INDEX(FILTER('Current Cycle Tracker'!$Q$2:$Q$200,('Current Cycle Tracker'!$B$2:$B$200="Person 2")*('Current Cycle Tracker'!$P$2:$P$200="Yes")),ROWS($A$93:A119)),"")</x:f>
      </x:c>
    </x:row>
    <x:row r="120">
      <x:c r="A120">
        <x:f>IFERROR(INDEX(FILTER('Current Cycle Tracker'!$C$2:$C$200,('Current Cycle Tracker'!$B$2:$B$200="Person 2")*('Current Cycle Tracker'!$P$2:$P$200="Yes")),ROWS($A$93:A120)),"")</x:f>
      </x:c>
      <x:c r="B120">
        <x:f>IFERROR(INDEX(FILTER('Current Cycle Tracker'!$D$2:$D$200,('Current Cycle Tracker'!$B$2:$B$200="Person 2")*('Current Cycle Tracker'!$P$2:$P$200="Yes")),ROWS($A$93:A120)),"")</x:f>
      </x:c>
      <x:c r="C120">
        <x:f>IFERROR(INDEX(FILTER('Current Cycle Tracker'!$G$2:$G$200,('Current Cycle Tracker'!$B$2:$B$200="Person 2")*('Current Cycle Tracker'!$P$2:$P$200="Yes")),ROWS($A$93:A120)),"")</x:f>
      </x:c>
      <x:c r="D120">
        <x:f>IFERROR(INDEX(FILTER('Current Cycle Tracker'!$H$2:$H$200,('Current Cycle Tracker'!$B$2:$B$200="Person 2")*('Current Cycle Tracker'!$P$2:$P$200="Yes")),ROWS($A$93:A120)),"")</x:f>
      </x:c>
      <x:c r="E120">
        <x:f>IFERROR(INDEX(FILTER('Current Cycle Tracker'!$I$2:$I$200,('Current Cycle Tracker'!$B$2:$B$200="Person 2")*('Current Cycle Tracker'!$P$2:$P$200="Yes")),ROWS($A$93:A120)),"")</x:f>
      </x:c>
      <x:c r="F120">
        <x:f>IFERROR(INDEX(FILTER('Current Cycle Tracker'!$J$2:$J$200,('Current Cycle Tracker'!$B$2:$B$200="Person 2")*('Current Cycle Tracker'!$P$2:$P$200="Yes")),ROWS($A$93:A120)),"")</x:f>
      </x:c>
      <x:c r="G120">
        <x:f>IFERROR(INDEX(FILTER('Current Cycle Tracker'!$K$2:$K$200,('Current Cycle Tracker'!$B$2:$B$200="Person 2")*('Current Cycle Tracker'!$P$2:$P$200="Yes")),ROWS($A$93:A120)),"")</x:f>
      </x:c>
      <x:c r="H120">
        <x:f>IFERROR(INDEX(FILTER('Current Cycle Tracker'!$L$2:$L$200,('Current Cycle Tracker'!$B$2:$B$200="Person 2")*('Current Cycle Tracker'!$P$2:$P$200="Yes")),ROWS($A$93:A120)),"")</x:f>
      </x:c>
      <x:c r="I120">
        <x:f>IF(H120="","",IF(H120&gt;=1,"✅","☐"))</x:f>
      </x:c>
      <x:c r="J120">
        <x:f>IFERROR(INDEX(FILTER('Current Cycle Tracker'!$M$2:$M$200,('Current Cycle Tracker'!$B$2:$B$200="Person 2")*('Current Cycle Tracker'!$P$2:$P$200="Yes")),ROWS($A$93:A120)),"")</x:f>
      </x:c>
      <x:c r="K120">
        <x:f>IFERROR(INDEX(FILTER('Current Cycle Tracker'!$N$2:$N$200,('Current Cycle Tracker'!$B$2:$B$200="Person 2")*('Current Cycle Tracker'!$P$2:$P$200="Yes")),ROWS($A$93:A120)),"")</x:f>
      </x:c>
      <x:c r="L120">
        <x:f>IFERROR(INDEX(FILTER('Current Cycle Tracker'!$Q$2:$Q$200,('Current Cycle Tracker'!$B$2:$B$200="Person 2")*('Current Cycle Tracker'!$P$2:$P$200="Yes")),ROWS($A$93:A120)),"")</x:f>
      </x:c>
    </x:row>
    <x:row r="121">
      <x:c r="A121">
        <x:f>IFERROR(INDEX(FILTER('Current Cycle Tracker'!$C$2:$C$200,('Current Cycle Tracker'!$B$2:$B$200="Person 2")*('Current Cycle Tracker'!$P$2:$P$200="Yes")),ROWS($A$93:A121)),"")</x:f>
      </x:c>
      <x:c r="B121">
        <x:f>IFERROR(INDEX(FILTER('Current Cycle Tracker'!$D$2:$D$200,('Current Cycle Tracker'!$B$2:$B$200="Person 2")*('Current Cycle Tracker'!$P$2:$P$200="Yes")),ROWS($A$93:A121)),"")</x:f>
      </x:c>
      <x:c r="C121">
        <x:f>IFERROR(INDEX(FILTER('Current Cycle Tracker'!$G$2:$G$200,('Current Cycle Tracker'!$B$2:$B$200="Person 2")*('Current Cycle Tracker'!$P$2:$P$200="Yes")),ROWS($A$93:A121)),"")</x:f>
      </x:c>
      <x:c r="D121">
        <x:f>IFERROR(INDEX(FILTER('Current Cycle Tracker'!$H$2:$H$200,('Current Cycle Tracker'!$B$2:$B$200="Person 2")*('Current Cycle Tracker'!$P$2:$P$200="Yes")),ROWS($A$93:A121)),"")</x:f>
      </x:c>
      <x:c r="E121">
        <x:f>IFERROR(INDEX(FILTER('Current Cycle Tracker'!$I$2:$I$200,('Current Cycle Tracker'!$B$2:$B$200="Person 2")*('Current Cycle Tracker'!$P$2:$P$200="Yes")),ROWS($A$93:A121)),"")</x:f>
      </x:c>
      <x:c r="F121">
        <x:f>IFERROR(INDEX(FILTER('Current Cycle Tracker'!$J$2:$J$200,('Current Cycle Tracker'!$B$2:$B$200="Person 2")*('Current Cycle Tracker'!$P$2:$P$200="Yes")),ROWS($A$93:A121)),"")</x:f>
      </x:c>
      <x:c r="G121">
        <x:f>IFERROR(INDEX(FILTER('Current Cycle Tracker'!$K$2:$K$200,('Current Cycle Tracker'!$B$2:$B$200="Person 2")*('Current Cycle Tracker'!$P$2:$P$200="Yes")),ROWS($A$93:A121)),"")</x:f>
      </x:c>
      <x:c r="H121">
        <x:f>IFERROR(INDEX(FILTER('Current Cycle Tracker'!$L$2:$L$200,('Current Cycle Tracker'!$B$2:$B$200="Person 2")*('Current Cycle Tracker'!$P$2:$P$200="Yes")),ROWS($A$93:A121)),"")</x:f>
      </x:c>
      <x:c r="I121">
        <x:f>IF(H121="","",IF(H121&gt;=1,"✅","☐"))</x:f>
      </x:c>
      <x:c r="J121">
        <x:f>IFERROR(INDEX(FILTER('Current Cycle Tracker'!$M$2:$M$200,('Current Cycle Tracker'!$B$2:$B$200="Person 2")*('Current Cycle Tracker'!$P$2:$P$200="Yes")),ROWS($A$93:A121)),"")</x:f>
      </x:c>
      <x:c r="K121">
        <x:f>IFERROR(INDEX(FILTER('Current Cycle Tracker'!$N$2:$N$200,('Current Cycle Tracker'!$B$2:$B$200="Person 2")*('Current Cycle Tracker'!$P$2:$P$200="Yes")),ROWS($A$93:A121)),"")</x:f>
      </x:c>
      <x:c r="L121">
        <x:f>IFERROR(INDEX(FILTER('Current Cycle Tracker'!$Q$2:$Q$200,('Current Cycle Tracker'!$B$2:$B$200="Person 2")*('Current Cycle Tracker'!$P$2:$P$200="Yes")),ROWS($A$93:A121)),"")</x:f>
      </x:c>
    </x:row>
    <x:row r="122">
      <x:c r="A122">
        <x:f>IFERROR(INDEX(FILTER('Current Cycle Tracker'!$C$2:$C$200,('Current Cycle Tracker'!$B$2:$B$200="Person 2")*('Current Cycle Tracker'!$P$2:$P$200="Yes")),ROWS($A$93:A122)),"")</x:f>
      </x:c>
      <x:c r="B122">
        <x:f>IFERROR(INDEX(FILTER('Current Cycle Tracker'!$D$2:$D$200,('Current Cycle Tracker'!$B$2:$B$200="Person 2")*('Current Cycle Tracker'!$P$2:$P$200="Yes")),ROWS($A$93:A122)),"")</x:f>
      </x:c>
      <x:c r="C122">
        <x:f>IFERROR(INDEX(FILTER('Current Cycle Tracker'!$G$2:$G$200,('Current Cycle Tracker'!$B$2:$B$200="Person 2")*('Current Cycle Tracker'!$P$2:$P$200="Yes")),ROWS($A$93:A122)),"")</x:f>
      </x:c>
      <x:c r="D122">
        <x:f>IFERROR(INDEX(FILTER('Current Cycle Tracker'!$H$2:$H$200,('Current Cycle Tracker'!$B$2:$B$200="Person 2")*('Current Cycle Tracker'!$P$2:$P$200="Yes")),ROWS($A$93:A122)),"")</x:f>
      </x:c>
      <x:c r="E122">
        <x:f>IFERROR(INDEX(FILTER('Current Cycle Tracker'!$I$2:$I$200,('Current Cycle Tracker'!$B$2:$B$200="Person 2")*('Current Cycle Tracker'!$P$2:$P$200="Yes")),ROWS($A$93:A122)),"")</x:f>
      </x:c>
      <x:c r="F122">
        <x:f>IFERROR(INDEX(FILTER('Current Cycle Tracker'!$J$2:$J$200,('Current Cycle Tracker'!$B$2:$B$200="Person 2")*('Current Cycle Tracker'!$P$2:$P$200="Yes")),ROWS($A$93:A122)),"")</x:f>
      </x:c>
      <x:c r="G122">
        <x:f>IFERROR(INDEX(FILTER('Current Cycle Tracker'!$K$2:$K$200,('Current Cycle Tracker'!$B$2:$B$200="Person 2")*('Current Cycle Tracker'!$P$2:$P$200="Yes")),ROWS($A$93:A122)),"")</x:f>
      </x:c>
      <x:c r="H122">
        <x:f>IFERROR(INDEX(FILTER('Current Cycle Tracker'!$L$2:$L$200,('Current Cycle Tracker'!$B$2:$B$200="Person 2")*('Current Cycle Tracker'!$P$2:$P$200="Yes")),ROWS($A$93:A122)),"")</x:f>
      </x:c>
      <x:c r="I122">
        <x:f>IF(H122="","",IF(H122&gt;=1,"✅","☐"))</x:f>
      </x:c>
      <x:c r="J122">
        <x:f>IFERROR(INDEX(FILTER('Current Cycle Tracker'!$M$2:$M$200,('Current Cycle Tracker'!$B$2:$B$200="Person 2")*('Current Cycle Tracker'!$P$2:$P$200="Yes")),ROWS($A$93:A122)),"")</x:f>
      </x:c>
      <x:c r="K122">
        <x:f>IFERROR(INDEX(FILTER('Current Cycle Tracker'!$N$2:$N$200,('Current Cycle Tracker'!$B$2:$B$200="Person 2")*('Current Cycle Tracker'!$P$2:$P$200="Yes")),ROWS($A$93:A122)),"")</x:f>
      </x:c>
      <x:c r="L122">
        <x:f>IFERROR(INDEX(FILTER('Current Cycle Tracker'!$Q$2:$Q$200,('Current Cycle Tracker'!$B$2:$B$200="Person 2")*('Current Cycle Tracker'!$P$2:$P$200="Yes")),ROWS($A$93:A122)),"")</x:f>
      </x:c>
    </x:row>
    <x:row r="123">
      <x:c r="A123">
        <x:f>IFERROR(INDEX(FILTER('Current Cycle Tracker'!$C$2:$C$200,('Current Cycle Tracker'!$B$2:$B$200="Person 2")*('Current Cycle Tracker'!$P$2:$P$200="Yes")),ROWS($A$93:A123)),"")</x:f>
      </x:c>
      <x:c r="B123">
        <x:f>IFERROR(INDEX(FILTER('Current Cycle Tracker'!$D$2:$D$200,('Current Cycle Tracker'!$B$2:$B$200="Person 2")*('Current Cycle Tracker'!$P$2:$P$200="Yes")),ROWS($A$93:A123)),"")</x:f>
      </x:c>
      <x:c r="C123">
        <x:f>IFERROR(INDEX(FILTER('Current Cycle Tracker'!$G$2:$G$200,('Current Cycle Tracker'!$B$2:$B$200="Person 2")*('Current Cycle Tracker'!$P$2:$P$200="Yes")),ROWS($A$93:A123)),"")</x:f>
      </x:c>
      <x:c r="D123">
        <x:f>IFERROR(INDEX(FILTER('Current Cycle Tracker'!$H$2:$H$200,('Current Cycle Tracker'!$B$2:$B$200="Person 2")*('Current Cycle Tracker'!$P$2:$P$200="Yes")),ROWS($A$93:A123)),"")</x:f>
      </x:c>
      <x:c r="E123">
        <x:f>IFERROR(INDEX(FILTER('Current Cycle Tracker'!$I$2:$I$200,('Current Cycle Tracker'!$B$2:$B$200="Person 2")*('Current Cycle Tracker'!$P$2:$P$200="Yes")),ROWS($A$93:A123)),"")</x:f>
      </x:c>
      <x:c r="F123">
        <x:f>IFERROR(INDEX(FILTER('Current Cycle Tracker'!$J$2:$J$200,('Current Cycle Tracker'!$B$2:$B$200="Person 2")*('Current Cycle Tracker'!$P$2:$P$200="Yes")),ROWS($A$93:A123)),"")</x:f>
      </x:c>
      <x:c r="G123">
        <x:f>IFERROR(INDEX(FILTER('Current Cycle Tracker'!$K$2:$K$200,('Current Cycle Tracker'!$B$2:$B$200="Person 2")*('Current Cycle Tracker'!$P$2:$P$200="Yes")),ROWS($A$93:A123)),"")</x:f>
      </x:c>
      <x:c r="H123">
        <x:f>IFERROR(INDEX(FILTER('Current Cycle Tracker'!$L$2:$L$200,('Current Cycle Tracker'!$B$2:$B$200="Person 2")*('Current Cycle Tracker'!$P$2:$P$200="Yes")),ROWS($A$93:A123)),"")</x:f>
      </x:c>
      <x:c r="I123">
        <x:f>IF(H123="","",IF(H123&gt;=1,"✅","☐"))</x:f>
      </x:c>
      <x:c r="J123">
        <x:f>IFERROR(INDEX(FILTER('Current Cycle Tracker'!$M$2:$M$200,('Current Cycle Tracker'!$B$2:$B$200="Person 2")*('Current Cycle Tracker'!$P$2:$P$200="Yes")),ROWS($A$93:A123)),"")</x:f>
      </x:c>
      <x:c r="K123">
        <x:f>IFERROR(INDEX(FILTER('Current Cycle Tracker'!$N$2:$N$200,('Current Cycle Tracker'!$B$2:$B$200="Person 2")*('Current Cycle Tracker'!$P$2:$P$200="Yes")),ROWS($A$93:A123)),"")</x:f>
      </x:c>
      <x:c r="L123">
        <x:f>IFERROR(INDEX(FILTER('Current Cycle Tracker'!$Q$2:$Q$200,('Current Cycle Tracker'!$B$2:$B$200="Person 2")*('Current Cycle Tracker'!$P$2:$P$200="Yes")),ROWS($A$93:A123)),"")</x:f>
      </x:c>
    </x:row>
    <x:row r="124">
      <x:c r="A124">
        <x:f>IFERROR(INDEX(FILTER('Current Cycle Tracker'!$C$2:$C$200,('Current Cycle Tracker'!$B$2:$B$200="Person 2")*('Current Cycle Tracker'!$P$2:$P$200="Yes")),ROWS($A$93:A124)),"")</x:f>
      </x:c>
      <x:c r="B124">
        <x:f>IFERROR(INDEX(FILTER('Current Cycle Tracker'!$D$2:$D$200,('Current Cycle Tracker'!$B$2:$B$200="Person 2")*('Current Cycle Tracker'!$P$2:$P$200="Yes")),ROWS($A$93:A124)),"")</x:f>
      </x:c>
      <x:c r="C124">
        <x:f>IFERROR(INDEX(FILTER('Current Cycle Tracker'!$G$2:$G$200,('Current Cycle Tracker'!$B$2:$B$200="Person 2")*('Current Cycle Tracker'!$P$2:$P$200="Yes")),ROWS($A$93:A124)),"")</x:f>
      </x:c>
      <x:c r="D124">
        <x:f>IFERROR(INDEX(FILTER('Current Cycle Tracker'!$H$2:$H$200,('Current Cycle Tracker'!$B$2:$B$200="Person 2")*('Current Cycle Tracker'!$P$2:$P$200="Yes")),ROWS($A$93:A124)),"")</x:f>
      </x:c>
      <x:c r="E124">
        <x:f>IFERROR(INDEX(FILTER('Current Cycle Tracker'!$I$2:$I$200,('Current Cycle Tracker'!$B$2:$B$200="Person 2")*('Current Cycle Tracker'!$P$2:$P$200="Yes")),ROWS($A$93:A124)),"")</x:f>
      </x:c>
      <x:c r="F124">
        <x:f>IFERROR(INDEX(FILTER('Current Cycle Tracker'!$J$2:$J$200,('Current Cycle Tracker'!$B$2:$B$200="Person 2")*('Current Cycle Tracker'!$P$2:$P$200="Yes")),ROWS($A$93:A124)),"")</x:f>
      </x:c>
      <x:c r="G124">
        <x:f>IFERROR(INDEX(FILTER('Current Cycle Tracker'!$K$2:$K$200,('Current Cycle Tracker'!$B$2:$B$200="Person 2")*('Current Cycle Tracker'!$P$2:$P$200="Yes")),ROWS($A$93:A124)),"")</x:f>
      </x:c>
      <x:c r="H124">
        <x:f>IFERROR(INDEX(FILTER('Current Cycle Tracker'!$L$2:$L$200,('Current Cycle Tracker'!$B$2:$B$200="Person 2")*('Current Cycle Tracker'!$P$2:$P$200="Yes")),ROWS($A$93:A124)),"")</x:f>
      </x:c>
      <x:c r="I124">
        <x:f>IF(H124="","",IF(H124&gt;=1,"✅","☐"))</x:f>
      </x:c>
      <x:c r="J124">
        <x:f>IFERROR(INDEX(FILTER('Current Cycle Tracker'!$M$2:$M$200,('Current Cycle Tracker'!$B$2:$B$200="Person 2")*('Current Cycle Tracker'!$P$2:$P$200="Yes")),ROWS($A$93:A124)),"")</x:f>
      </x:c>
      <x:c r="K124">
        <x:f>IFERROR(INDEX(FILTER('Current Cycle Tracker'!$N$2:$N$200,('Current Cycle Tracker'!$B$2:$B$200="Person 2")*('Current Cycle Tracker'!$P$2:$P$200="Yes")),ROWS($A$93:A124)),"")</x:f>
      </x:c>
      <x:c r="L124">
        <x:f>IFERROR(INDEX(FILTER('Current Cycle Tracker'!$Q$2:$Q$200,('Current Cycle Tracker'!$B$2:$B$200="Person 2")*('Current Cycle Tracker'!$P$2:$P$200="Yes")),ROWS($A$93:A124)),"")</x:f>
      </x:c>
    </x:row>
    <x:row r="125">
      <x:c r="A125">
        <x:f>IFERROR(INDEX(FILTER('Current Cycle Tracker'!$C$2:$C$200,('Current Cycle Tracker'!$B$2:$B$200="Person 2")*('Current Cycle Tracker'!$P$2:$P$200="Yes")),ROWS($A$93:A125)),"")</x:f>
      </x:c>
      <x:c r="B125">
        <x:f>IFERROR(INDEX(FILTER('Current Cycle Tracker'!$D$2:$D$200,('Current Cycle Tracker'!$B$2:$B$200="Person 2")*('Current Cycle Tracker'!$P$2:$P$200="Yes")),ROWS($A$93:A125)),"")</x:f>
      </x:c>
      <x:c r="C125">
        <x:f>IFERROR(INDEX(FILTER('Current Cycle Tracker'!$G$2:$G$200,('Current Cycle Tracker'!$B$2:$B$200="Person 2")*('Current Cycle Tracker'!$P$2:$P$200="Yes")),ROWS($A$93:A125)),"")</x:f>
      </x:c>
      <x:c r="D125">
        <x:f>IFERROR(INDEX(FILTER('Current Cycle Tracker'!$H$2:$H$200,('Current Cycle Tracker'!$B$2:$B$200="Person 2")*('Current Cycle Tracker'!$P$2:$P$200="Yes")),ROWS($A$93:A125)),"")</x:f>
      </x:c>
      <x:c r="E125">
        <x:f>IFERROR(INDEX(FILTER('Current Cycle Tracker'!$I$2:$I$200,('Current Cycle Tracker'!$B$2:$B$200="Person 2")*('Current Cycle Tracker'!$P$2:$P$200="Yes")),ROWS($A$93:A125)),"")</x:f>
      </x:c>
      <x:c r="F125">
        <x:f>IFERROR(INDEX(FILTER('Current Cycle Tracker'!$J$2:$J$200,('Current Cycle Tracker'!$B$2:$B$200="Person 2")*('Current Cycle Tracker'!$P$2:$P$200="Yes")),ROWS($A$93:A125)),"")</x:f>
      </x:c>
      <x:c r="G125">
        <x:f>IFERROR(INDEX(FILTER('Current Cycle Tracker'!$K$2:$K$200,('Current Cycle Tracker'!$B$2:$B$200="Person 2")*('Current Cycle Tracker'!$P$2:$P$200="Yes")),ROWS($A$93:A125)),"")</x:f>
      </x:c>
      <x:c r="H125">
        <x:f>IFERROR(INDEX(FILTER('Current Cycle Tracker'!$L$2:$L$200,('Current Cycle Tracker'!$B$2:$B$200="Person 2")*('Current Cycle Tracker'!$P$2:$P$200="Yes")),ROWS($A$93:A125)),"")</x:f>
      </x:c>
      <x:c r="I125">
        <x:f>IF(H125="","",IF(H125&gt;=1,"✅","☐"))</x:f>
      </x:c>
      <x:c r="J125">
        <x:f>IFERROR(INDEX(FILTER('Current Cycle Tracker'!$M$2:$M$200,('Current Cycle Tracker'!$B$2:$B$200="Person 2")*('Current Cycle Tracker'!$P$2:$P$200="Yes")),ROWS($A$93:A125)),"")</x:f>
      </x:c>
      <x:c r="K125">
        <x:f>IFERROR(INDEX(FILTER('Current Cycle Tracker'!$N$2:$N$200,('Current Cycle Tracker'!$B$2:$B$200="Person 2")*('Current Cycle Tracker'!$P$2:$P$200="Yes")),ROWS($A$93:A125)),"")</x:f>
      </x:c>
      <x:c r="L125">
        <x:f>IFERROR(INDEX(FILTER('Current Cycle Tracker'!$Q$2:$Q$200,('Current Cycle Tracker'!$B$2:$B$200="Person 2")*('Current Cycle Tracker'!$P$2:$P$200="Yes")),ROWS($A$93:A125)),"")</x:f>
      </x:c>
    </x:row>
    <x:row r="126">
      <x:c r="A126">
        <x:f>IFERROR(INDEX(FILTER('Current Cycle Tracker'!$C$2:$C$200,('Current Cycle Tracker'!$B$2:$B$200="Person 2")*('Current Cycle Tracker'!$P$2:$P$200="Yes")),ROWS($A$93:A126)),"")</x:f>
      </x:c>
      <x:c r="B126">
        <x:f>IFERROR(INDEX(FILTER('Current Cycle Tracker'!$D$2:$D$200,('Current Cycle Tracker'!$B$2:$B$200="Person 2")*('Current Cycle Tracker'!$P$2:$P$200="Yes")),ROWS($A$93:A126)),"")</x:f>
      </x:c>
      <x:c r="C126">
        <x:f>IFERROR(INDEX(FILTER('Current Cycle Tracker'!$G$2:$G$200,('Current Cycle Tracker'!$B$2:$B$200="Person 2")*('Current Cycle Tracker'!$P$2:$P$200="Yes")),ROWS($A$93:A126)),"")</x:f>
      </x:c>
      <x:c r="D126">
        <x:f>IFERROR(INDEX(FILTER('Current Cycle Tracker'!$H$2:$H$200,('Current Cycle Tracker'!$B$2:$B$200="Person 2")*('Current Cycle Tracker'!$P$2:$P$200="Yes")),ROWS($A$93:A126)),"")</x:f>
      </x:c>
      <x:c r="E126">
        <x:f>IFERROR(INDEX(FILTER('Current Cycle Tracker'!$I$2:$I$200,('Current Cycle Tracker'!$B$2:$B$200="Person 2")*('Current Cycle Tracker'!$P$2:$P$200="Yes")),ROWS($A$93:A126)),"")</x:f>
      </x:c>
      <x:c r="F126">
        <x:f>IFERROR(INDEX(FILTER('Current Cycle Tracker'!$J$2:$J$200,('Current Cycle Tracker'!$B$2:$B$200="Person 2")*('Current Cycle Tracker'!$P$2:$P$200="Yes")),ROWS($A$93:A126)),"")</x:f>
      </x:c>
      <x:c r="G126">
        <x:f>IFERROR(INDEX(FILTER('Current Cycle Tracker'!$K$2:$K$200,('Current Cycle Tracker'!$B$2:$B$200="Person 2")*('Current Cycle Tracker'!$P$2:$P$200="Yes")),ROWS($A$93:A126)),"")</x:f>
      </x:c>
      <x:c r="H126">
        <x:f>IFERROR(INDEX(FILTER('Current Cycle Tracker'!$L$2:$L$200,('Current Cycle Tracker'!$B$2:$B$200="Person 2")*('Current Cycle Tracker'!$P$2:$P$200="Yes")),ROWS($A$93:A126)),"")</x:f>
      </x:c>
      <x:c r="I126">
        <x:f>IF(H126="","",IF(H126&gt;=1,"✅","☐"))</x:f>
      </x:c>
      <x:c r="J126">
        <x:f>IFERROR(INDEX(FILTER('Current Cycle Tracker'!$M$2:$M$200,('Current Cycle Tracker'!$B$2:$B$200="Person 2")*('Current Cycle Tracker'!$P$2:$P$200="Yes")),ROWS($A$93:A126)),"")</x:f>
      </x:c>
      <x:c r="K126">
        <x:f>IFERROR(INDEX(FILTER('Current Cycle Tracker'!$N$2:$N$200,('Current Cycle Tracker'!$B$2:$B$200="Person 2")*('Current Cycle Tracker'!$P$2:$P$200="Yes")),ROWS($A$93:A126)),"")</x:f>
      </x:c>
      <x:c r="L126">
        <x:f>IFERROR(INDEX(FILTER('Current Cycle Tracker'!$Q$2:$Q$200,('Current Cycle Tracker'!$B$2:$B$200="Person 2")*('Current Cycle Tracker'!$P$2:$P$200="Yes")),ROWS($A$93:A126)),"")</x:f>
      </x:c>
    </x:row>
    <x:row r="127">
      <x:c r="A127">
        <x:f>IFERROR(INDEX(FILTER('Current Cycle Tracker'!$C$2:$C$200,('Current Cycle Tracker'!$B$2:$B$200="Person 2")*('Current Cycle Tracker'!$P$2:$P$200="Yes")),ROWS($A$93:A127)),"")</x:f>
      </x:c>
      <x:c r="B127">
        <x:f>IFERROR(INDEX(FILTER('Current Cycle Tracker'!$D$2:$D$200,('Current Cycle Tracker'!$B$2:$B$200="Person 2")*('Current Cycle Tracker'!$P$2:$P$200="Yes")),ROWS($A$93:A127)),"")</x:f>
      </x:c>
      <x:c r="C127">
        <x:f>IFERROR(INDEX(FILTER('Current Cycle Tracker'!$G$2:$G$200,('Current Cycle Tracker'!$B$2:$B$200="Person 2")*('Current Cycle Tracker'!$P$2:$P$200="Yes")),ROWS($A$93:A127)),"")</x:f>
      </x:c>
      <x:c r="D127">
        <x:f>IFERROR(INDEX(FILTER('Current Cycle Tracker'!$H$2:$H$200,('Current Cycle Tracker'!$B$2:$B$200="Person 2")*('Current Cycle Tracker'!$P$2:$P$200="Yes")),ROWS($A$93:A127)),"")</x:f>
      </x:c>
      <x:c r="E127">
        <x:f>IFERROR(INDEX(FILTER('Current Cycle Tracker'!$I$2:$I$200,('Current Cycle Tracker'!$B$2:$B$200="Person 2")*('Current Cycle Tracker'!$P$2:$P$200="Yes")),ROWS($A$93:A127)),"")</x:f>
      </x:c>
      <x:c r="F127">
        <x:f>IFERROR(INDEX(FILTER('Current Cycle Tracker'!$J$2:$J$200,('Current Cycle Tracker'!$B$2:$B$200="Person 2")*('Current Cycle Tracker'!$P$2:$P$200="Yes")),ROWS($A$93:A127)),"")</x:f>
      </x:c>
      <x:c r="G127">
        <x:f>IFERROR(INDEX(FILTER('Current Cycle Tracker'!$K$2:$K$200,('Current Cycle Tracker'!$B$2:$B$200="Person 2")*('Current Cycle Tracker'!$P$2:$P$200="Yes")),ROWS($A$93:A127)),"")</x:f>
      </x:c>
      <x:c r="H127">
        <x:f>IFERROR(INDEX(FILTER('Current Cycle Tracker'!$L$2:$L$200,('Current Cycle Tracker'!$B$2:$B$200="Person 2")*('Current Cycle Tracker'!$P$2:$P$200="Yes")),ROWS($A$93:A127)),"")</x:f>
      </x:c>
      <x:c r="I127">
        <x:f>IF(H127="","",IF(H127&gt;=1,"✅","☐"))</x:f>
      </x:c>
      <x:c r="J127">
        <x:f>IFERROR(INDEX(FILTER('Current Cycle Tracker'!$M$2:$M$200,('Current Cycle Tracker'!$B$2:$B$200="Person 2")*('Current Cycle Tracker'!$P$2:$P$200="Yes")),ROWS($A$93:A127)),"")</x:f>
      </x:c>
      <x:c r="K127">
        <x:f>IFERROR(INDEX(FILTER('Current Cycle Tracker'!$N$2:$N$200,('Current Cycle Tracker'!$B$2:$B$200="Person 2")*('Current Cycle Tracker'!$P$2:$P$200="Yes")),ROWS($A$93:A127)),"")</x:f>
      </x:c>
      <x:c r="L127">
        <x:f>IFERROR(INDEX(FILTER('Current Cycle Tracker'!$Q$2:$Q$200,('Current Cycle Tracker'!$B$2:$B$200="Person 2")*('Current Cycle Tracker'!$P$2:$P$200="Yes")),ROWS($A$93:A127)),"")</x:f>
      </x:c>
    </x:row>
    <x:row r="128">
      <x:c r="A128">
        <x:f>IFERROR(INDEX(FILTER('Current Cycle Tracker'!$C$2:$C$200,('Current Cycle Tracker'!$B$2:$B$200="Person 2")*('Current Cycle Tracker'!$P$2:$P$200="Yes")),ROWS($A$93:A128)),"")</x:f>
      </x:c>
      <x:c r="B128">
        <x:f>IFERROR(INDEX(FILTER('Current Cycle Tracker'!$D$2:$D$200,('Current Cycle Tracker'!$B$2:$B$200="Person 2")*('Current Cycle Tracker'!$P$2:$P$200="Yes")),ROWS($A$93:A128)),"")</x:f>
      </x:c>
      <x:c r="C128">
        <x:f>IFERROR(INDEX(FILTER('Current Cycle Tracker'!$G$2:$G$200,('Current Cycle Tracker'!$B$2:$B$200="Person 2")*('Current Cycle Tracker'!$P$2:$P$200="Yes")),ROWS($A$93:A128)),"")</x:f>
      </x:c>
      <x:c r="D128">
        <x:f>IFERROR(INDEX(FILTER('Current Cycle Tracker'!$H$2:$H$200,('Current Cycle Tracker'!$B$2:$B$200="Person 2")*('Current Cycle Tracker'!$P$2:$P$200="Yes")),ROWS($A$93:A128)),"")</x:f>
      </x:c>
      <x:c r="E128">
        <x:f>IFERROR(INDEX(FILTER('Current Cycle Tracker'!$I$2:$I$200,('Current Cycle Tracker'!$B$2:$B$200="Person 2")*('Current Cycle Tracker'!$P$2:$P$200="Yes")),ROWS($A$93:A128)),"")</x:f>
      </x:c>
      <x:c r="F128">
        <x:f>IFERROR(INDEX(FILTER('Current Cycle Tracker'!$J$2:$J$200,('Current Cycle Tracker'!$B$2:$B$200="Person 2")*('Current Cycle Tracker'!$P$2:$P$200="Yes")),ROWS($A$93:A128)),"")</x:f>
      </x:c>
      <x:c r="G128">
        <x:f>IFERROR(INDEX(FILTER('Current Cycle Tracker'!$K$2:$K$200,('Current Cycle Tracker'!$B$2:$B$200="Person 2")*('Current Cycle Tracker'!$P$2:$P$200="Yes")),ROWS($A$93:A128)),"")</x:f>
      </x:c>
      <x:c r="H128">
        <x:f>IFERROR(INDEX(FILTER('Current Cycle Tracker'!$L$2:$L$200,('Current Cycle Tracker'!$B$2:$B$200="Person 2")*('Current Cycle Tracker'!$P$2:$P$200="Yes")),ROWS($A$93:A128)),"")</x:f>
      </x:c>
      <x:c r="I128">
        <x:f>IF(H128="","",IF(H128&gt;=1,"✅","☐"))</x:f>
      </x:c>
      <x:c r="J128">
        <x:f>IFERROR(INDEX(FILTER('Current Cycle Tracker'!$M$2:$M$200,('Current Cycle Tracker'!$B$2:$B$200="Person 2")*('Current Cycle Tracker'!$P$2:$P$200="Yes")),ROWS($A$93:A128)),"")</x:f>
      </x:c>
      <x:c r="K128">
        <x:f>IFERROR(INDEX(FILTER('Current Cycle Tracker'!$N$2:$N$200,('Current Cycle Tracker'!$B$2:$B$200="Person 2")*('Current Cycle Tracker'!$P$2:$P$200="Yes")),ROWS($A$93:A128)),"")</x:f>
      </x:c>
      <x:c r="L128">
        <x:f>IFERROR(INDEX(FILTER('Current Cycle Tracker'!$Q$2:$Q$200,('Current Cycle Tracker'!$B$2:$B$200="Person 2")*('Current Cycle Tracker'!$P$2:$P$200="Yes")),ROWS($A$93:A128)),"")</x:f>
      </x:c>
    </x:row>
    <x:row r="129">
      <x:c r="A129">
        <x:f>IFERROR(INDEX(FILTER('Current Cycle Tracker'!$C$2:$C$200,('Current Cycle Tracker'!$B$2:$B$200="Person 2")*('Current Cycle Tracker'!$P$2:$P$200="Yes")),ROWS($A$93:A129)),"")</x:f>
      </x:c>
      <x:c r="B129">
        <x:f>IFERROR(INDEX(FILTER('Current Cycle Tracker'!$D$2:$D$200,('Current Cycle Tracker'!$B$2:$B$200="Person 2")*('Current Cycle Tracker'!$P$2:$P$200="Yes")),ROWS($A$93:A129)),"")</x:f>
      </x:c>
      <x:c r="C129">
        <x:f>IFERROR(INDEX(FILTER('Current Cycle Tracker'!$G$2:$G$200,('Current Cycle Tracker'!$B$2:$B$200="Person 2")*('Current Cycle Tracker'!$P$2:$P$200="Yes")),ROWS($A$93:A129)),"")</x:f>
      </x:c>
      <x:c r="D129">
        <x:f>IFERROR(INDEX(FILTER('Current Cycle Tracker'!$H$2:$H$200,('Current Cycle Tracker'!$B$2:$B$200="Person 2")*('Current Cycle Tracker'!$P$2:$P$200="Yes")),ROWS($A$93:A129)),"")</x:f>
      </x:c>
      <x:c r="E129">
        <x:f>IFERROR(INDEX(FILTER('Current Cycle Tracker'!$I$2:$I$200,('Current Cycle Tracker'!$B$2:$B$200="Person 2")*('Current Cycle Tracker'!$P$2:$P$200="Yes")),ROWS($A$93:A129)),"")</x:f>
      </x:c>
      <x:c r="F129">
        <x:f>IFERROR(INDEX(FILTER('Current Cycle Tracker'!$J$2:$J$200,('Current Cycle Tracker'!$B$2:$B$200="Person 2")*('Current Cycle Tracker'!$P$2:$P$200="Yes")),ROWS($A$93:A129)),"")</x:f>
      </x:c>
      <x:c r="G129">
        <x:f>IFERROR(INDEX(FILTER('Current Cycle Tracker'!$K$2:$K$200,('Current Cycle Tracker'!$B$2:$B$200="Person 2")*('Current Cycle Tracker'!$P$2:$P$200="Yes")),ROWS($A$93:A129)),"")</x:f>
      </x:c>
      <x:c r="H129">
        <x:f>IFERROR(INDEX(FILTER('Current Cycle Tracker'!$L$2:$L$200,('Current Cycle Tracker'!$B$2:$B$200="Person 2")*('Current Cycle Tracker'!$P$2:$P$200="Yes")),ROWS($A$93:A129)),"")</x:f>
      </x:c>
      <x:c r="I129">
        <x:f>IF(H129="","",IF(H129&gt;=1,"✅","☐"))</x:f>
      </x:c>
      <x:c r="J129">
        <x:f>IFERROR(INDEX(FILTER('Current Cycle Tracker'!$M$2:$M$200,('Current Cycle Tracker'!$B$2:$B$200="Person 2")*('Current Cycle Tracker'!$P$2:$P$200="Yes")),ROWS($A$93:A129)),"")</x:f>
      </x:c>
      <x:c r="K129">
        <x:f>IFERROR(INDEX(FILTER('Current Cycle Tracker'!$N$2:$N$200,('Current Cycle Tracker'!$B$2:$B$200="Person 2")*('Current Cycle Tracker'!$P$2:$P$200="Yes")),ROWS($A$93:A129)),"")</x:f>
      </x:c>
      <x:c r="L129">
        <x:f>IFERROR(INDEX(FILTER('Current Cycle Tracker'!$Q$2:$Q$200,('Current Cycle Tracker'!$B$2:$B$200="Person 2")*('Current Cycle Tracker'!$P$2:$P$200="Yes")),ROWS($A$93:A129)),"")</x:f>
      </x:c>
    </x:row>
    <x:row r="130">
      <x:c r="A130">
        <x:f>IFERROR(INDEX(FILTER('Current Cycle Tracker'!$C$2:$C$200,('Current Cycle Tracker'!$B$2:$B$200="Person 2")*('Current Cycle Tracker'!$P$2:$P$200="Yes")),ROWS($A$93:A130)),"")</x:f>
      </x:c>
      <x:c r="B130">
        <x:f>IFERROR(INDEX(FILTER('Current Cycle Tracker'!$D$2:$D$200,('Current Cycle Tracker'!$B$2:$B$200="Person 2")*('Current Cycle Tracker'!$P$2:$P$200="Yes")),ROWS($A$93:A130)),"")</x:f>
      </x:c>
      <x:c r="C130">
        <x:f>IFERROR(INDEX(FILTER('Current Cycle Tracker'!$G$2:$G$200,('Current Cycle Tracker'!$B$2:$B$200="Person 2")*('Current Cycle Tracker'!$P$2:$P$200="Yes")),ROWS($A$93:A130)),"")</x:f>
      </x:c>
      <x:c r="D130">
        <x:f>IFERROR(INDEX(FILTER('Current Cycle Tracker'!$H$2:$H$200,('Current Cycle Tracker'!$B$2:$B$200="Person 2")*('Current Cycle Tracker'!$P$2:$P$200="Yes")),ROWS($A$93:A130)),"")</x:f>
      </x:c>
      <x:c r="E130">
        <x:f>IFERROR(INDEX(FILTER('Current Cycle Tracker'!$I$2:$I$200,('Current Cycle Tracker'!$B$2:$B$200="Person 2")*('Current Cycle Tracker'!$P$2:$P$200="Yes")),ROWS($A$93:A130)),"")</x:f>
      </x:c>
      <x:c r="F130">
        <x:f>IFERROR(INDEX(FILTER('Current Cycle Tracker'!$J$2:$J$200,('Current Cycle Tracker'!$B$2:$B$200="Person 2")*('Current Cycle Tracker'!$P$2:$P$200="Yes")),ROWS($A$93:A130)),"")</x:f>
      </x:c>
      <x:c r="G130">
        <x:f>IFERROR(INDEX(FILTER('Current Cycle Tracker'!$K$2:$K$200,('Current Cycle Tracker'!$B$2:$B$200="Person 2")*('Current Cycle Tracker'!$P$2:$P$200="Yes")),ROWS($A$93:A130)),"")</x:f>
      </x:c>
      <x:c r="H130">
        <x:f>IFERROR(INDEX(FILTER('Current Cycle Tracker'!$L$2:$L$200,('Current Cycle Tracker'!$B$2:$B$200="Person 2")*('Current Cycle Tracker'!$P$2:$P$200="Yes")),ROWS($A$93:A130)),"")</x:f>
      </x:c>
      <x:c r="I130">
        <x:f>IF(H130="","",IF(H130&gt;=1,"✅","☐"))</x:f>
      </x:c>
      <x:c r="J130">
        <x:f>IFERROR(INDEX(FILTER('Current Cycle Tracker'!$M$2:$M$200,('Current Cycle Tracker'!$B$2:$B$200="Person 2")*('Current Cycle Tracker'!$P$2:$P$200="Yes")),ROWS($A$93:A130)),"")</x:f>
      </x:c>
      <x:c r="K130">
        <x:f>IFERROR(INDEX(FILTER('Current Cycle Tracker'!$N$2:$N$200,('Current Cycle Tracker'!$B$2:$B$200="Person 2")*('Current Cycle Tracker'!$P$2:$P$200="Yes")),ROWS($A$93:A130)),"")</x:f>
      </x:c>
      <x:c r="L130">
        <x:f>IFERROR(INDEX(FILTER('Current Cycle Tracker'!$Q$2:$Q$200,('Current Cycle Tracker'!$B$2:$B$200="Person 2")*('Current Cycle Tracker'!$P$2:$P$200="Yes")),ROWS($A$93:A130)),"")</x:f>
      </x:c>
    </x:row>
    <x:row r="131">
      <x:c r="A131">
        <x:f>IFERROR(INDEX(FILTER('Current Cycle Tracker'!$C$2:$C$200,('Current Cycle Tracker'!$B$2:$B$200="Person 2")*('Current Cycle Tracker'!$P$2:$P$200="Yes")),ROWS($A$93:A131)),"")</x:f>
      </x:c>
      <x:c r="B131">
        <x:f>IFERROR(INDEX(FILTER('Current Cycle Tracker'!$D$2:$D$200,('Current Cycle Tracker'!$B$2:$B$200="Person 2")*('Current Cycle Tracker'!$P$2:$P$200="Yes")),ROWS($A$93:A131)),"")</x:f>
      </x:c>
      <x:c r="C131">
        <x:f>IFERROR(INDEX(FILTER('Current Cycle Tracker'!$G$2:$G$200,('Current Cycle Tracker'!$B$2:$B$200="Person 2")*('Current Cycle Tracker'!$P$2:$P$200="Yes")),ROWS($A$93:A131)),"")</x:f>
      </x:c>
      <x:c r="D131">
        <x:f>IFERROR(INDEX(FILTER('Current Cycle Tracker'!$H$2:$H$200,('Current Cycle Tracker'!$B$2:$B$200="Person 2")*('Current Cycle Tracker'!$P$2:$P$200="Yes")),ROWS($A$93:A131)),"")</x:f>
      </x:c>
      <x:c r="E131">
        <x:f>IFERROR(INDEX(FILTER('Current Cycle Tracker'!$I$2:$I$200,('Current Cycle Tracker'!$B$2:$B$200="Person 2")*('Current Cycle Tracker'!$P$2:$P$200="Yes")),ROWS($A$93:A131)),"")</x:f>
      </x:c>
      <x:c r="F131">
        <x:f>IFERROR(INDEX(FILTER('Current Cycle Tracker'!$J$2:$J$200,('Current Cycle Tracker'!$B$2:$B$200="Person 2")*('Current Cycle Tracker'!$P$2:$P$200="Yes")),ROWS($A$93:A131)),"")</x:f>
      </x:c>
      <x:c r="G131">
        <x:f>IFERROR(INDEX(FILTER('Current Cycle Tracker'!$K$2:$K$200,('Current Cycle Tracker'!$B$2:$B$200="Person 2")*('Current Cycle Tracker'!$P$2:$P$200="Yes")),ROWS($A$93:A131)),"")</x:f>
      </x:c>
      <x:c r="H131">
        <x:f>IFERROR(INDEX(FILTER('Current Cycle Tracker'!$L$2:$L$200,('Current Cycle Tracker'!$B$2:$B$200="Person 2")*('Current Cycle Tracker'!$P$2:$P$200="Yes")),ROWS($A$93:A131)),"")</x:f>
      </x:c>
      <x:c r="I131">
        <x:f>IF(H131="","",IF(H131&gt;=1,"✅","☐"))</x:f>
      </x:c>
      <x:c r="J131">
        <x:f>IFERROR(INDEX(FILTER('Current Cycle Tracker'!$M$2:$M$200,('Current Cycle Tracker'!$B$2:$B$200="Person 2")*('Current Cycle Tracker'!$P$2:$P$200="Yes")),ROWS($A$93:A131)),"")</x:f>
      </x:c>
      <x:c r="K131">
        <x:f>IFERROR(INDEX(FILTER('Current Cycle Tracker'!$N$2:$N$200,('Current Cycle Tracker'!$B$2:$B$200="Person 2")*('Current Cycle Tracker'!$P$2:$P$200="Yes")),ROWS($A$93:A131)),"")</x:f>
      </x:c>
      <x:c r="L131">
        <x:f>IFERROR(INDEX(FILTER('Current Cycle Tracker'!$Q$2:$Q$200,('Current Cycle Tracker'!$B$2:$B$200="Person 2")*('Current Cycle Tracker'!$P$2:$P$200="Yes")),ROWS($A$93:A131)),"")</x:f>
      </x:c>
    </x:row>
    <x:row r="132">
      <x:c r="A132">
        <x:f>IFERROR(INDEX(FILTER('Current Cycle Tracker'!$C$2:$C$200,('Current Cycle Tracker'!$B$2:$B$200="Person 2")*('Current Cycle Tracker'!$P$2:$P$200="Yes")),ROWS($A$93:A132)),"")</x:f>
      </x:c>
      <x:c r="B132">
        <x:f>IFERROR(INDEX(FILTER('Current Cycle Tracker'!$D$2:$D$200,('Current Cycle Tracker'!$B$2:$B$200="Person 2")*('Current Cycle Tracker'!$P$2:$P$200="Yes")),ROWS($A$93:A132)),"")</x:f>
      </x:c>
      <x:c r="C132">
        <x:f>IFERROR(INDEX(FILTER('Current Cycle Tracker'!$G$2:$G$200,('Current Cycle Tracker'!$B$2:$B$200="Person 2")*('Current Cycle Tracker'!$P$2:$P$200="Yes")),ROWS($A$93:A132)),"")</x:f>
      </x:c>
      <x:c r="D132">
        <x:f>IFERROR(INDEX(FILTER('Current Cycle Tracker'!$H$2:$H$200,('Current Cycle Tracker'!$B$2:$B$200="Person 2")*('Current Cycle Tracker'!$P$2:$P$200="Yes")),ROWS($A$93:A132)),"")</x:f>
      </x:c>
      <x:c r="E132">
        <x:f>IFERROR(INDEX(FILTER('Current Cycle Tracker'!$I$2:$I$200,('Current Cycle Tracker'!$B$2:$B$200="Person 2")*('Current Cycle Tracker'!$P$2:$P$200="Yes")),ROWS($A$93:A132)),"")</x:f>
      </x:c>
      <x:c r="F132">
        <x:f>IFERROR(INDEX(FILTER('Current Cycle Tracker'!$J$2:$J$200,('Current Cycle Tracker'!$B$2:$B$200="Person 2")*('Current Cycle Tracker'!$P$2:$P$200="Yes")),ROWS($A$93:A132)),"")</x:f>
      </x:c>
      <x:c r="G132">
        <x:f>IFERROR(INDEX(FILTER('Current Cycle Tracker'!$K$2:$K$200,('Current Cycle Tracker'!$B$2:$B$200="Person 2")*('Current Cycle Tracker'!$P$2:$P$200="Yes")),ROWS($A$93:A132)),"")</x:f>
      </x:c>
      <x:c r="H132">
        <x:f>IFERROR(INDEX(FILTER('Current Cycle Tracker'!$L$2:$L$200,('Current Cycle Tracker'!$B$2:$B$200="Person 2")*('Current Cycle Tracker'!$P$2:$P$200="Yes")),ROWS($A$93:A132)),"")</x:f>
      </x:c>
      <x:c r="I132">
        <x:f>IF(H132="","",IF(H132&gt;=1,"✅","☐"))</x:f>
      </x:c>
      <x:c r="J132">
        <x:f>IFERROR(INDEX(FILTER('Current Cycle Tracker'!$M$2:$M$200,('Current Cycle Tracker'!$B$2:$B$200="Person 2")*('Current Cycle Tracker'!$P$2:$P$200="Yes")),ROWS($A$93:A132)),"")</x:f>
      </x:c>
      <x:c r="K132">
        <x:f>IFERROR(INDEX(FILTER('Current Cycle Tracker'!$N$2:$N$200,('Current Cycle Tracker'!$B$2:$B$200="Person 2")*('Current Cycle Tracker'!$P$2:$P$200="Yes")),ROWS($A$93:A132)),"")</x:f>
      </x:c>
      <x:c r="L132">
        <x:f>IFERROR(INDEX(FILTER('Current Cycle Tracker'!$Q$2:$Q$200,('Current Cycle Tracker'!$B$2:$B$200="Person 2")*('Current Cycle Tracker'!$P$2:$P$200="Yes")),ROWS($A$93:A132)),"")</x:f>
      </x:c>
    </x:row>
    <x:row r="133">
      <x:c r="A133">
        <x:f>IFERROR(INDEX(FILTER('Current Cycle Tracker'!$C$2:$C$200,('Current Cycle Tracker'!$B$2:$B$200="Person 2")*('Current Cycle Tracker'!$P$2:$P$200="Yes")),ROWS($A$93:A133)),"")</x:f>
      </x:c>
      <x:c r="B133">
        <x:f>IFERROR(INDEX(FILTER('Current Cycle Tracker'!$D$2:$D$200,('Current Cycle Tracker'!$B$2:$B$200="Person 2")*('Current Cycle Tracker'!$P$2:$P$200="Yes")),ROWS($A$93:A133)),"")</x:f>
      </x:c>
      <x:c r="C133">
        <x:f>IFERROR(INDEX(FILTER('Current Cycle Tracker'!$G$2:$G$200,('Current Cycle Tracker'!$B$2:$B$200="Person 2")*('Current Cycle Tracker'!$P$2:$P$200="Yes")),ROWS($A$93:A133)),"")</x:f>
      </x:c>
      <x:c r="D133">
        <x:f>IFERROR(INDEX(FILTER('Current Cycle Tracker'!$H$2:$H$200,('Current Cycle Tracker'!$B$2:$B$200="Person 2")*('Current Cycle Tracker'!$P$2:$P$200="Yes")),ROWS($A$93:A133)),"")</x:f>
      </x:c>
      <x:c r="E133">
        <x:f>IFERROR(INDEX(FILTER('Current Cycle Tracker'!$I$2:$I$200,('Current Cycle Tracker'!$B$2:$B$200="Person 2")*('Current Cycle Tracker'!$P$2:$P$200="Yes")),ROWS($A$93:A133)),"")</x:f>
      </x:c>
      <x:c r="F133">
        <x:f>IFERROR(INDEX(FILTER('Current Cycle Tracker'!$J$2:$J$200,('Current Cycle Tracker'!$B$2:$B$200="Person 2")*('Current Cycle Tracker'!$P$2:$P$200="Yes")),ROWS($A$93:A133)),"")</x:f>
      </x:c>
      <x:c r="G133">
        <x:f>IFERROR(INDEX(FILTER('Current Cycle Tracker'!$K$2:$K$200,('Current Cycle Tracker'!$B$2:$B$200="Person 2")*('Current Cycle Tracker'!$P$2:$P$200="Yes")),ROWS($A$93:A133)),"")</x:f>
      </x:c>
      <x:c r="H133">
        <x:f>IFERROR(INDEX(FILTER('Current Cycle Tracker'!$L$2:$L$200,('Current Cycle Tracker'!$B$2:$B$200="Person 2")*('Current Cycle Tracker'!$P$2:$P$200="Yes")),ROWS($A$93:A133)),"")</x:f>
      </x:c>
      <x:c r="I133">
        <x:f>IF(H133="","",IF(H133&gt;=1,"✅","☐"))</x:f>
      </x:c>
      <x:c r="J133">
        <x:f>IFERROR(INDEX(FILTER('Current Cycle Tracker'!$M$2:$M$200,('Current Cycle Tracker'!$B$2:$B$200="Person 2")*('Current Cycle Tracker'!$P$2:$P$200="Yes")),ROWS($A$93:A133)),"")</x:f>
      </x:c>
      <x:c r="K133">
        <x:f>IFERROR(INDEX(FILTER('Current Cycle Tracker'!$N$2:$N$200,('Current Cycle Tracker'!$B$2:$B$200="Person 2")*('Current Cycle Tracker'!$P$2:$P$200="Yes")),ROWS($A$93:A133)),"")</x:f>
      </x:c>
      <x:c r="L133">
        <x:f>IFERROR(INDEX(FILTER('Current Cycle Tracker'!$Q$2:$Q$200,('Current Cycle Tracker'!$B$2:$B$200="Person 2")*('Current Cycle Tracker'!$P$2:$P$200="Yes")),ROWS($A$93:A133)),"")</x:f>
      </x:c>
    </x:row>
    <x:row r="134">
      <x:c r="A134">
        <x:f>IFERROR(INDEX(FILTER('Current Cycle Tracker'!$C$2:$C$200,('Current Cycle Tracker'!$B$2:$B$200="Person 2")*('Current Cycle Tracker'!$P$2:$P$200="Yes")),ROWS($A$93:A134)),"")</x:f>
      </x:c>
      <x:c r="B134">
        <x:f>IFERROR(INDEX(FILTER('Current Cycle Tracker'!$D$2:$D$200,('Current Cycle Tracker'!$B$2:$B$200="Person 2")*('Current Cycle Tracker'!$P$2:$P$200="Yes")),ROWS($A$93:A134)),"")</x:f>
      </x:c>
      <x:c r="C134">
        <x:f>IFERROR(INDEX(FILTER('Current Cycle Tracker'!$G$2:$G$200,('Current Cycle Tracker'!$B$2:$B$200="Person 2")*('Current Cycle Tracker'!$P$2:$P$200="Yes")),ROWS($A$93:A134)),"")</x:f>
      </x:c>
      <x:c r="D134">
        <x:f>IFERROR(INDEX(FILTER('Current Cycle Tracker'!$H$2:$H$200,('Current Cycle Tracker'!$B$2:$B$200="Person 2")*('Current Cycle Tracker'!$P$2:$P$200="Yes")),ROWS($A$93:A134)),"")</x:f>
      </x:c>
      <x:c r="E134">
        <x:f>IFERROR(INDEX(FILTER('Current Cycle Tracker'!$I$2:$I$200,('Current Cycle Tracker'!$B$2:$B$200="Person 2")*('Current Cycle Tracker'!$P$2:$P$200="Yes")),ROWS($A$93:A134)),"")</x:f>
      </x:c>
      <x:c r="F134">
        <x:f>IFERROR(INDEX(FILTER('Current Cycle Tracker'!$J$2:$J$200,('Current Cycle Tracker'!$B$2:$B$200="Person 2")*('Current Cycle Tracker'!$P$2:$P$200="Yes")),ROWS($A$93:A134)),"")</x:f>
      </x:c>
      <x:c r="G134">
        <x:f>IFERROR(INDEX(FILTER('Current Cycle Tracker'!$K$2:$K$200,('Current Cycle Tracker'!$B$2:$B$200="Person 2")*('Current Cycle Tracker'!$P$2:$P$200="Yes")),ROWS($A$93:A134)),"")</x:f>
      </x:c>
      <x:c r="H134">
        <x:f>IFERROR(INDEX(FILTER('Current Cycle Tracker'!$L$2:$L$200,('Current Cycle Tracker'!$B$2:$B$200="Person 2")*('Current Cycle Tracker'!$P$2:$P$200="Yes")),ROWS($A$93:A134)),"")</x:f>
      </x:c>
      <x:c r="I134">
        <x:f>IF(H134="","",IF(H134&gt;=1,"✅","☐"))</x:f>
      </x:c>
      <x:c r="J134">
        <x:f>IFERROR(INDEX(FILTER('Current Cycle Tracker'!$M$2:$M$200,('Current Cycle Tracker'!$B$2:$B$200="Person 2")*('Current Cycle Tracker'!$P$2:$P$200="Yes")),ROWS($A$93:A134)),"")</x:f>
      </x:c>
      <x:c r="K134">
        <x:f>IFERROR(INDEX(FILTER('Current Cycle Tracker'!$N$2:$N$200,('Current Cycle Tracker'!$B$2:$B$200="Person 2")*('Current Cycle Tracker'!$P$2:$P$200="Yes")),ROWS($A$93:A134)),"")</x:f>
      </x:c>
      <x:c r="L134">
        <x:f>IFERROR(INDEX(FILTER('Current Cycle Tracker'!$Q$2:$Q$200,('Current Cycle Tracker'!$B$2:$B$200="Person 2")*('Current Cycle Tracker'!$P$2:$P$200="Yes")),ROWS($A$93:A134)),"")</x:f>
      </x:c>
    </x:row>
    <x:row r="135">
      <x:c r="A135">
        <x:f>IFERROR(INDEX(FILTER('Current Cycle Tracker'!$C$2:$C$200,('Current Cycle Tracker'!$B$2:$B$200="Person 2")*('Current Cycle Tracker'!$P$2:$P$200="Yes")),ROWS($A$93:A135)),"")</x:f>
      </x:c>
      <x:c r="B135">
        <x:f>IFERROR(INDEX(FILTER('Current Cycle Tracker'!$D$2:$D$200,('Current Cycle Tracker'!$B$2:$B$200="Person 2")*('Current Cycle Tracker'!$P$2:$P$200="Yes")),ROWS($A$93:A135)),"")</x:f>
      </x:c>
      <x:c r="C135">
        <x:f>IFERROR(INDEX(FILTER('Current Cycle Tracker'!$G$2:$G$200,('Current Cycle Tracker'!$B$2:$B$200="Person 2")*('Current Cycle Tracker'!$P$2:$P$200="Yes")),ROWS($A$93:A135)),"")</x:f>
      </x:c>
      <x:c r="D135">
        <x:f>IFERROR(INDEX(FILTER('Current Cycle Tracker'!$H$2:$H$200,('Current Cycle Tracker'!$B$2:$B$200="Person 2")*('Current Cycle Tracker'!$P$2:$P$200="Yes")),ROWS($A$93:A135)),"")</x:f>
      </x:c>
      <x:c r="E135">
        <x:f>IFERROR(INDEX(FILTER('Current Cycle Tracker'!$I$2:$I$200,('Current Cycle Tracker'!$B$2:$B$200="Person 2")*('Current Cycle Tracker'!$P$2:$P$200="Yes")),ROWS($A$93:A135)),"")</x:f>
      </x:c>
      <x:c r="F135">
        <x:f>IFERROR(INDEX(FILTER('Current Cycle Tracker'!$J$2:$J$200,('Current Cycle Tracker'!$B$2:$B$200="Person 2")*('Current Cycle Tracker'!$P$2:$P$200="Yes")),ROWS($A$93:A135)),"")</x:f>
      </x:c>
      <x:c r="G135">
        <x:f>IFERROR(INDEX(FILTER('Current Cycle Tracker'!$K$2:$K$200,('Current Cycle Tracker'!$B$2:$B$200="Person 2")*('Current Cycle Tracker'!$P$2:$P$200="Yes")),ROWS($A$93:A135)),"")</x:f>
      </x:c>
      <x:c r="H135">
        <x:f>IFERROR(INDEX(FILTER('Current Cycle Tracker'!$L$2:$L$200,('Current Cycle Tracker'!$B$2:$B$200="Person 2")*('Current Cycle Tracker'!$P$2:$P$200="Yes")),ROWS($A$93:A135)),"")</x:f>
      </x:c>
      <x:c r="I135">
        <x:f>IF(H135="","",IF(H135&gt;=1,"✅","☐"))</x:f>
      </x:c>
      <x:c r="J135">
        <x:f>IFERROR(INDEX(FILTER('Current Cycle Tracker'!$M$2:$M$200,('Current Cycle Tracker'!$B$2:$B$200="Person 2")*('Current Cycle Tracker'!$P$2:$P$200="Yes")),ROWS($A$93:A135)),"")</x:f>
      </x:c>
      <x:c r="K135">
        <x:f>IFERROR(INDEX(FILTER('Current Cycle Tracker'!$N$2:$N$200,('Current Cycle Tracker'!$B$2:$B$200="Person 2")*('Current Cycle Tracker'!$P$2:$P$200="Yes")),ROWS($A$93:A135)),"")</x:f>
      </x:c>
      <x:c r="L135">
        <x:f>IFERROR(INDEX(FILTER('Current Cycle Tracker'!$Q$2:$Q$200,('Current Cycle Tracker'!$B$2:$B$200="Person 2")*('Current Cycle Tracker'!$P$2:$P$200="Yes")),ROWS($A$93:A135)),"")</x:f>
      </x:c>
    </x:row>
    <x:row r="136">
      <x:c r="A136">
        <x:f>IFERROR(INDEX(FILTER('Current Cycle Tracker'!$C$2:$C$200,('Current Cycle Tracker'!$B$2:$B$200="Person 2")*('Current Cycle Tracker'!$P$2:$P$200="Yes")),ROWS($A$93:A136)),"")</x:f>
      </x:c>
      <x:c r="B136">
        <x:f>IFERROR(INDEX(FILTER('Current Cycle Tracker'!$D$2:$D$200,('Current Cycle Tracker'!$B$2:$B$200="Person 2")*('Current Cycle Tracker'!$P$2:$P$200="Yes")),ROWS($A$93:A136)),"")</x:f>
      </x:c>
      <x:c r="C136">
        <x:f>IFERROR(INDEX(FILTER('Current Cycle Tracker'!$G$2:$G$200,('Current Cycle Tracker'!$B$2:$B$200="Person 2")*('Current Cycle Tracker'!$P$2:$P$200="Yes")),ROWS($A$93:A136)),"")</x:f>
      </x:c>
      <x:c r="D136">
        <x:f>IFERROR(INDEX(FILTER('Current Cycle Tracker'!$H$2:$H$200,('Current Cycle Tracker'!$B$2:$B$200="Person 2")*('Current Cycle Tracker'!$P$2:$P$200="Yes")),ROWS($A$93:A136)),"")</x:f>
      </x:c>
      <x:c r="E136">
        <x:f>IFERROR(INDEX(FILTER('Current Cycle Tracker'!$I$2:$I$200,('Current Cycle Tracker'!$B$2:$B$200="Person 2")*('Current Cycle Tracker'!$P$2:$P$200="Yes")),ROWS($A$93:A136)),"")</x:f>
      </x:c>
      <x:c r="F136">
        <x:f>IFERROR(INDEX(FILTER('Current Cycle Tracker'!$J$2:$J$200,('Current Cycle Tracker'!$B$2:$B$200="Person 2")*('Current Cycle Tracker'!$P$2:$P$200="Yes")),ROWS($A$93:A136)),"")</x:f>
      </x:c>
      <x:c r="G136">
        <x:f>IFERROR(INDEX(FILTER('Current Cycle Tracker'!$K$2:$K$200,('Current Cycle Tracker'!$B$2:$B$200="Person 2")*('Current Cycle Tracker'!$P$2:$P$200="Yes")),ROWS($A$93:A136)),"")</x:f>
      </x:c>
      <x:c r="H136">
        <x:f>IFERROR(INDEX(FILTER('Current Cycle Tracker'!$L$2:$L$200,('Current Cycle Tracker'!$B$2:$B$200="Person 2")*('Current Cycle Tracker'!$P$2:$P$200="Yes")),ROWS($A$93:A136)),"")</x:f>
      </x:c>
      <x:c r="I136">
        <x:f>IF(H136="","",IF(H136&gt;=1,"✅","☐"))</x:f>
      </x:c>
      <x:c r="J136">
        <x:f>IFERROR(INDEX(FILTER('Current Cycle Tracker'!$M$2:$M$200,('Current Cycle Tracker'!$B$2:$B$200="Person 2")*('Current Cycle Tracker'!$P$2:$P$200="Yes")),ROWS($A$93:A136)),"")</x:f>
      </x:c>
      <x:c r="K136">
        <x:f>IFERROR(INDEX(FILTER('Current Cycle Tracker'!$N$2:$N$200,('Current Cycle Tracker'!$B$2:$B$200="Person 2")*('Current Cycle Tracker'!$P$2:$P$200="Yes")),ROWS($A$93:A136)),"")</x:f>
      </x:c>
      <x:c r="L136">
        <x:f>IFERROR(INDEX(FILTER('Current Cycle Tracker'!$Q$2:$Q$200,('Current Cycle Tracker'!$B$2:$B$200="Person 2")*('Current Cycle Tracker'!$P$2:$P$200="Yes")),ROWS($A$93:A136)),"")</x:f>
      </x:c>
    </x:row>
    <x:row r="137">
      <x:c r="A137">
        <x:f>IFERROR(INDEX(FILTER('Current Cycle Tracker'!$C$2:$C$200,('Current Cycle Tracker'!$B$2:$B$200="Person 2")*('Current Cycle Tracker'!$P$2:$P$200="Yes")),ROWS($A$93:A137)),"")</x:f>
      </x:c>
      <x:c r="B137">
        <x:f>IFERROR(INDEX(FILTER('Current Cycle Tracker'!$D$2:$D$200,('Current Cycle Tracker'!$B$2:$B$200="Person 2")*('Current Cycle Tracker'!$P$2:$P$200="Yes")),ROWS($A$93:A137)),"")</x:f>
      </x:c>
      <x:c r="C137">
        <x:f>IFERROR(INDEX(FILTER('Current Cycle Tracker'!$G$2:$G$200,('Current Cycle Tracker'!$B$2:$B$200="Person 2")*('Current Cycle Tracker'!$P$2:$P$200="Yes")),ROWS($A$93:A137)),"")</x:f>
      </x:c>
      <x:c r="D137">
        <x:f>IFERROR(INDEX(FILTER('Current Cycle Tracker'!$H$2:$H$200,('Current Cycle Tracker'!$B$2:$B$200="Person 2")*('Current Cycle Tracker'!$P$2:$P$200="Yes")),ROWS($A$93:A137)),"")</x:f>
      </x:c>
      <x:c r="E137">
        <x:f>IFERROR(INDEX(FILTER('Current Cycle Tracker'!$I$2:$I$200,('Current Cycle Tracker'!$B$2:$B$200="Person 2")*('Current Cycle Tracker'!$P$2:$P$200="Yes")),ROWS($A$93:A137)),"")</x:f>
      </x:c>
      <x:c r="F137">
        <x:f>IFERROR(INDEX(FILTER('Current Cycle Tracker'!$J$2:$J$200,('Current Cycle Tracker'!$B$2:$B$200="Person 2")*('Current Cycle Tracker'!$P$2:$P$200="Yes")),ROWS($A$93:A137)),"")</x:f>
      </x:c>
      <x:c r="G137">
        <x:f>IFERROR(INDEX(FILTER('Current Cycle Tracker'!$K$2:$K$200,('Current Cycle Tracker'!$B$2:$B$200="Person 2")*('Current Cycle Tracker'!$P$2:$P$200="Yes")),ROWS($A$93:A137)),"")</x:f>
      </x:c>
      <x:c r="H137">
        <x:f>IFERROR(INDEX(FILTER('Current Cycle Tracker'!$L$2:$L$200,('Current Cycle Tracker'!$B$2:$B$200="Person 2")*('Current Cycle Tracker'!$P$2:$P$200="Yes")),ROWS($A$93:A137)),"")</x:f>
      </x:c>
      <x:c r="I137">
        <x:f>IF(H137="","",IF(H137&gt;=1,"✅","☐"))</x:f>
      </x:c>
      <x:c r="J137">
        <x:f>IFERROR(INDEX(FILTER('Current Cycle Tracker'!$M$2:$M$200,('Current Cycle Tracker'!$B$2:$B$200="Person 2")*('Current Cycle Tracker'!$P$2:$P$200="Yes")),ROWS($A$93:A137)),"")</x:f>
      </x:c>
      <x:c r="K137">
        <x:f>IFERROR(INDEX(FILTER('Current Cycle Tracker'!$N$2:$N$200,('Current Cycle Tracker'!$B$2:$B$200="Person 2")*('Current Cycle Tracker'!$P$2:$P$200="Yes")),ROWS($A$93:A137)),"")</x:f>
      </x:c>
      <x:c r="L137">
        <x:f>IFERROR(INDEX(FILTER('Current Cycle Tracker'!$Q$2:$Q$200,('Current Cycle Tracker'!$B$2:$B$200="Person 2")*('Current Cycle Tracker'!$P$2:$P$200="Yes")),ROWS($A$93:A137)),"")</x:f>
      </x:c>
    </x:row>
    <x:row r="138">
      <x:c r="A138">
        <x:f>IFERROR(INDEX(FILTER('Current Cycle Tracker'!$C$2:$C$200,('Current Cycle Tracker'!$B$2:$B$200="Person 2")*('Current Cycle Tracker'!$P$2:$P$200="Yes")),ROWS($A$93:A138)),"")</x:f>
      </x:c>
      <x:c r="B138">
        <x:f>IFERROR(INDEX(FILTER('Current Cycle Tracker'!$D$2:$D$200,('Current Cycle Tracker'!$B$2:$B$200="Person 2")*('Current Cycle Tracker'!$P$2:$P$200="Yes")),ROWS($A$93:A138)),"")</x:f>
      </x:c>
      <x:c r="C138">
        <x:f>IFERROR(INDEX(FILTER('Current Cycle Tracker'!$G$2:$G$200,('Current Cycle Tracker'!$B$2:$B$200="Person 2")*('Current Cycle Tracker'!$P$2:$P$200="Yes")),ROWS($A$93:A138)),"")</x:f>
      </x:c>
      <x:c r="D138">
        <x:f>IFERROR(INDEX(FILTER('Current Cycle Tracker'!$H$2:$H$200,('Current Cycle Tracker'!$B$2:$B$200="Person 2")*('Current Cycle Tracker'!$P$2:$P$200="Yes")),ROWS($A$93:A138)),"")</x:f>
      </x:c>
      <x:c r="E138">
        <x:f>IFERROR(INDEX(FILTER('Current Cycle Tracker'!$I$2:$I$200,('Current Cycle Tracker'!$B$2:$B$200="Person 2")*('Current Cycle Tracker'!$P$2:$P$200="Yes")),ROWS($A$93:A138)),"")</x:f>
      </x:c>
      <x:c r="F138">
        <x:f>IFERROR(INDEX(FILTER('Current Cycle Tracker'!$J$2:$J$200,('Current Cycle Tracker'!$B$2:$B$200="Person 2")*('Current Cycle Tracker'!$P$2:$P$200="Yes")),ROWS($A$93:A138)),"")</x:f>
      </x:c>
      <x:c r="G138">
        <x:f>IFERROR(INDEX(FILTER('Current Cycle Tracker'!$K$2:$K$200,('Current Cycle Tracker'!$B$2:$B$200="Person 2")*('Current Cycle Tracker'!$P$2:$P$200="Yes")),ROWS($A$93:A138)),"")</x:f>
      </x:c>
      <x:c r="H138">
        <x:f>IFERROR(INDEX(FILTER('Current Cycle Tracker'!$L$2:$L$200,('Current Cycle Tracker'!$B$2:$B$200="Person 2")*('Current Cycle Tracker'!$P$2:$P$200="Yes")),ROWS($A$93:A138)),"")</x:f>
      </x:c>
      <x:c r="I138">
        <x:f>IF(H138="","",IF(H138&gt;=1,"✅","☐"))</x:f>
      </x:c>
      <x:c r="J138">
        <x:f>IFERROR(INDEX(FILTER('Current Cycle Tracker'!$M$2:$M$200,('Current Cycle Tracker'!$B$2:$B$200="Person 2")*('Current Cycle Tracker'!$P$2:$P$200="Yes")),ROWS($A$93:A138)),"")</x:f>
      </x:c>
      <x:c r="K138">
        <x:f>IFERROR(INDEX(FILTER('Current Cycle Tracker'!$N$2:$N$200,('Current Cycle Tracker'!$B$2:$B$200="Person 2")*('Current Cycle Tracker'!$P$2:$P$200="Yes")),ROWS($A$93:A138)),"")</x:f>
      </x:c>
      <x:c r="L138">
        <x:f>IFERROR(INDEX(FILTER('Current Cycle Tracker'!$Q$2:$Q$200,('Current Cycle Tracker'!$B$2:$B$200="Person 2")*('Current Cycle Tracker'!$P$2:$P$200="Yes")),ROWS($A$93:A138)),"")</x:f>
      </x:c>
    </x:row>
    <x:row r="139">
      <x:c r="A139">
        <x:f>IFERROR(INDEX(FILTER('Current Cycle Tracker'!$C$2:$C$200,('Current Cycle Tracker'!$B$2:$B$200="Person 2")*('Current Cycle Tracker'!$P$2:$P$200="Yes")),ROWS($A$93:A139)),"")</x:f>
      </x:c>
      <x:c r="B139">
        <x:f>IFERROR(INDEX(FILTER('Current Cycle Tracker'!$D$2:$D$200,('Current Cycle Tracker'!$B$2:$B$200="Person 2")*('Current Cycle Tracker'!$P$2:$P$200="Yes")),ROWS($A$93:A139)),"")</x:f>
      </x:c>
      <x:c r="C139">
        <x:f>IFERROR(INDEX(FILTER('Current Cycle Tracker'!$G$2:$G$200,('Current Cycle Tracker'!$B$2:$B$200="Person 2")*('Current Cycle Tracker'!$P$2:$P$200="Yes")),ROWS($A$93:A139)),"")</x:f>
      </x:c>
      <x:c r="D139">
        <x:f>IFERROR(INDEX(FILTER('Current Cycle Tracker'!$H$2:$H$200,('Current Cycle Tracker'!$B$2:$B$200="Person 2")*('Current Cycle Tracker'!$P$2:$P$200="Yes")),ROWS($A$93:A139)),"")</x:f>
      </x:c>
      <x:c r="E139">
        <x:f>IFERROR(INDEX(FILTER('Current Cycle Tracker'!$I$2:$I$200,('Current Cycle Tracker'!$B$2:$B$200="Person 2")*('Current Cycle Tracker'!$P$2:$P$200="Yes")),ROWS($A$93:A139)),"")</x:f>
      </x:c>
      <x:c r="F139">
        <x:f>IFERROR(INDEX(FILTER('Current Cycle Tracker'!$J$2:$J$200,('Current Cycle Tracker'!$B$2:$B$200="Person 2")*('Current Cycle Tracker'!$P$2:$P$200="Yes")),ROWS($A$93:A139)),"")</x:f>
      </x:c>
      <x:c r="G139">
        <x:f>IFERROR(INDEX(FILTER('Current Cycle Tracker'!$K$2:$K$200,('Current Cycle Tracker'!$B$2:$B$200="Person 2")*('Current Cycle Tracker'!$P$2:$P$200="Yes")),ROWS($A$93:A139)),"")</x:f>
      </x:c>
      <x:c r="H139">
        <x:f>IFERROR(INDEX(FILTER('Current Cycle Tracker'!$L$2:$L$200,('Current Cycle Tracker'!$B$2:$B$200="Person 2")*('Current Cycle Tracker'!$P$2:$P$200="Yes")),ROWS($A$93:A139)),"")</x:f>
      </x:c>
      <x:c r="I139">
        <x:f>IF(H139="","",IF(H139&gt;=1,"✅","☐"))</x:f>
      </x:c>
      <x:c r="J139">
        <x:f>IFERROR(INDEX(FILTER('Current Cycle Tracker'!$M$2:$M$200,('Current Cycle Tracker'!$B$2:$B$200="Person 2")*('Current Cycle Tracker'!$P$2:$P$200="Yes")),ROWS($A$93:A139)),"")</x:f>
      </x:c>
      <x:c r="K139">
        <x:f>IFERROR(INDEX(FILTER('Current Cycle Tracker'!$N$2:$N$200,('Current Cycle Tracker'!$B$2:$B$200="Person 2")*('Current Cycle Tracker'!$P$2:$P$200="Yes")),ROWS($A$93:A139)),"")</x:f>
      </x:c>
      <x:c r="L139">
        <x:f>IFERROR(INDEX(FILTER('Current Cycle Tracker'!$Q$2:$Q$200,('Current Cycle Tracker'!$B$2:$B$200="Person 2")*('Current Cycle Tracker'!$P$2:$P$200="Yes")),ROWS($A$93:A139)),"")</x:f>
      </x:c>
    </x:row>
    <x:row r="140">
      <x:c r="A140">
        <x:f>IFERROR(INDEX(FILTER('Current Cycle Tracker'!$C$2:$C$200,('Current Cycle Tracker'!$B$2:$B$200="Person 2")*('Current Cycle Tracker'!$P$2:$P$200="Yes")),ROWS($A$93:A140)),"")</x:f>
      </x:c>
      <x:c r="B140">
        <x:f>IFERROR(INDEX(FILTER('Current Cycle Tracker'!$D$2:$D$200,('Current Cycle Tracker'!$B$2:$B$200="Person 2")*('Current Cycle Tracker'!$P$2:$P$200="Yes")),ROWS($A$93:A140)),"")</x:f>
      </x:c>
      <x:c r="C140">
        <x:f>IFERROR(INDEX(FILTER('Current Cycle Tracker'!$G$2:$G$200,('Current Cycle Tracker'!$B$2:$B$200="Person 2")*('Current Cycle Tracker'!$P$2:$P$200="Yes")),ROWS($A$93:A140)),"")</x:f>
      </x:c>
      <x:c r="D140">
        <x:f>IFERROR(INDEX(FILTER('Current Cycle Tracker'!$H$2:$H$200,('Current Cycle Tracker'!$B$2:$B$200="Person 2")*('Current Cycle Tracker'!$P$2:$P$200="Yes")),ROWS($A$93:A140)),"")</x:f>
      </x:c>
      <x:c r="E140">
        <x:f>IFERROR(INDEX(FILTER('Current Cycle Tracker'!$I$2:$I$200,('Current Cycle Tracker'!$B$2:$B$200="Person 2")*('Current Cycle Tracker'!$P$2:$P$200="Yes")),ROWS($A$93:A140)),"")</x:f>
      </x:c>
      <x:c r="F140">
        <x:f>IFERROR(INDEX(FILTER('Current Cycle Tracker'!$J$2:$J$200,('Current Cycle Tracker'!$B$2:$B$200="Person 2")*('Current Cycle Tracker'!$P$2:$P$200="Yes")),ROWS($A$93:A140)),"")</x:f>
      </x:c>
      <x:c r="G140">
        <x:f>IFERROR(INDEX(FILTER('Current Cycle Tracker'!$K$2:$K$200,('Current Cycle Tracker'!$B$2:$B$200="Person 2")*('Current Cycle Tracker'!$P$2:$P$200="Yes")),ROWS($A$93:A140)),"")</x:f>
      </x:c>
      <x:c r="H140">
        <x:f>IFERROR(INDEX(FILTER('Current Cycle Tracker'!$L$2:$L$200,('Current Cycle Tracker'!$B$2:$B$200="Person 2")*('Current Cycle Tracker'!$P$2:$P$200="Yes")),ROWS($A$93:A140)),"")</x:f>
      </x:c>
      <x:c r="I140">
        <x:f>IF(H140="","",IF(H140&gt;=1,"✅","☐"))</x:f>
      </x:c>
      <x:c r="J140">
        <x:f>IFERROR(INDEX(FILTER('Current Cycle Tracker'!$M$2:$M$200,('Current Cycle Tracker'!$B$2:$B$200="Person 2")*('Current Cycle Tracker'!$P$2:$P$200="Yes")),ROWS($A$93:A140)),"")</x:f>
      </x:c>
      <x:c r="K140">
        <x:f>IFERROR(INDEX(FILTER('Current Cycle Tracker'!$N$2:$N$200,('Current Cycle Tracker'!$B$2:$B$200="Person 2")*('Current Cycle Tracker'!$P$2:$P$200="Yes")),ROWS($A$93:A140)),"")</x:f>
      </x:c>
      <x:c r="L140">
        <x:f>IFERROR(INDEX(FILTER('Current Cycle Tracker'!$Q$2:$Q$200,('Current Cycle Tracker'!$B$2:$B$200="Person 2")*('Current Cycle Tracker'!$P$2:$P$200="Yes")),ROWS($A$93:A140)),"")</x:f>
      </x:c>
    </x:row>
    <x:row r="141">
      <x:c r="A141">
        <x:f>IFERROR(INDEX(FILTER('Current Cycle Tracker'!$C$2:$C$200,('Current Cycle Tracker'!$B$2:$B$200="Person 2")*('Current Cycle Tracker'!$P$2:$P$200="Yes")),ROWS($A$93:A141)),"")</x:f>
      </x:c>
      <x:c r="B141">
        <x:f>IFERROR(INDEX(FILTER('Current Cycle Tracker'!$D$2:$D$200,('Current Cycle Tracker'!$B$2:$B$200="Person 2")*('Current Cycle Tracker'!$P$2:$P$200="Yes")),ROWS($A$93:A141)),"")</x:f>
      </x:c>
      <x:c r="C141">
        <x:f>IFERROR(INDEX(FILTER('Current Cycle Tracker'!$G$2:$G$200,('Current Cycle Tracker'!$B$2:$B$200="Person 2")*('Current Cycle Tracker'!$P$2:$P$200="Yes")),ROWS($A$93:A141)),"")</x:f>
      </x:c>
      <x:c r="D141">
        <x:f>IFERROR(INDEX(FILTER('Current Cycle Tracker'!$H$2:$H$200,('Current Cycle Tracker'!$B$2:$B$200="Person 2")*('Current Cycle Tracker'!$P$2:$P$200="Yes")),ROWS($A$93:A141)),"")</x:f>
      </x:c>
      <x:c r="E141">
        <x:f>IFERROR(INDEX(FILTER('Current Cycle Tracker'!$I$2:$I$200,('Current Cycle Tracker'!$B$2:$B$200="Person 2")*('Current Cycle Tracker'!$P$2:$P$200="Yes")),ROWS($A$93:A141)),"")</x:f>
      </x:c>
      <x:c r="F141">
        <x:f>IFERROR(INDEX(FILTER('Current Cycle Tracker'!$J$2:$J$200,('Current Cycle Tracker'!$B$2:$B$200="Person 2")*('Current Cycle Tracker'!$P$2:$P$200="Yes")),ROWS($A$93:A141)),"")</x:f>
      </x:c>
      <x:c r="G141">
        <x:f>IFERROR(INDEX(FILTER('Current Cycle Tracker'!$K$2:$K$200,('Current Cycle Tracker'!$B$2:$B$200="Person 2")*('Current Cycle Tracker'!$P$2:$P$200="Yes")),ROWS($A$93:A141)),"")</x:f>
      </x:c>
      <x:c r="H141">
        <x:f>IFERROR(INDEX(FILTER('Current Cycle Tracker'!$L$2:$L$200,('Current Cycle Tracker'!$B$2:$B$200="Person 2")*('Current Cycle Tracker'!$P$2:$P$200="Yes")),ROWS($A$93:A141)),"")</x:f>
      </x:c>
      <x:c r="I141">
        <x:f>IF(H141="","",IF(H141&gt;=1,"✅","☐"))</x:f>
      </x:c>
      <x:c r="J141">
        <x:f>IFERROR(INDEX(FILTER('Current Cycle Tracker'!$M$2:$M$200,('Current Cycle Tracker'!$B$2:$B$200="Person 2")*('Current Cycle Tracker'!$P$2:$P$200="Yes")),ROWS($A$93:A141)),"")</x:f>
      </x:c>
      <x:c r="K141">
        <x:f>IFERROR(INDEX(FILTER('Current Cycle Tracker'!$N$2:$N$200,('Current Cycle Tracker'!$B$2:$B$200="Person 2")*('Current Cycle Tracker'!$P$2:$P$200="Yes")),ROWS($A$93:A141)),"")</x:f>
      </x:c>
      <x:c r="L141">
        <x:f>IFERROR(INDEX(FILTER('Current Cycle Tracker'!$Q$2:$Q$200,('Current Cycle Tracker'!$B$2:$B$200="Person 2")*('Current Cycle Tracker'!$P$2:$P$200="Yes")),ROWS($A$93:A141)),"")</x:f>
      </x:c>
    </x:row>
    <x:row r="142">
      <x:c r="A142">
        <x:f>IFERROR(INDEX(FILTER('Current Cycle Tracker'!$C$2:$C$200,('Current Cycle Tracker'!$B$2:$B$200="Person 2")*('Current Cycle Tracker'!$P$2:$P$200="Yes")),ROWS($A$93:A142)),"")</x:f>
      </x:c>
      <x:c r="B142">
        <x:f>IFERROR(INDEX(FILTER('Current Cycle Tracker'!$D$2:$D$200,('Current Cycle Tracker'!$B$2:$B$200="Person 2")*('Current Cycle Tracker'!$P$2:$P$200="Yes")),ROWS($A$93:A142)),"")</x:f>
      </x:c>
      <x:c r="C142">
        <x:f>IFERROR(INDEX(FILTER('Current Cycle Tracker'!$G$2:$G$200,('Current Cycle Tracker'!$B$2:$B$200="Person 2")*('Current Cycle Tracker'!$P$2:$P$200="Yes")),ROWS($A$93:A142)),"")</x:f>
      </x:c>
      <x:c r="D142">
        <x:f>IFERROR(INDEX(FILTER('Current Cycle Tracker'!$H$2:$H$200,('Current Cycle Tracker'!$B$2:$B$200="Person 2")*('Current Cycle Tracker'!$P$2:$P$200="Yes")),ROWS($A$93:A142)),"")</x:f>
      </x:c>
      <x:c r="E142">
        <x:f>IFERROR(INDEX(FILTER('Current Cycle Tracker'!$I$2:$I$200,('Current Cycle Tracker'!$B$2:$B$200="Person 2")*('Current Cycle Tracker'!$P$2:$P$200="Yes")),ROWS($A$93:A142)),"")</x:f>
      </x:c>
      <x:c r="F142">
        <x:f>IFERROR(INDEX(FILTER('Current Cycle Tracker'!$J$2:$J$200,('Current Cycle Tracker'!$B$2:$B$200="Person 2")*('Current Cycle Tracker'!$P$2:$P$200="Yes")),ROWS($A$93:A142)),"")</x:f>
      </x:c>
      <x:c r="G142">
        <x:f>IFERROR(INDEX(FILTER('Current Cycle Tracker'!$K$2:$K$200,('Current Cycle Tracker'!$B$2:$B$200="Person 2")*('Current Cycle Tracker'!$P$2:$P$200="Yes")),ROWS($A$93:A142)),"")</x:f>
      </x:c>
      <x:c r="H142">
        <x:f>IFERROR(INDEX(FILTER('Current Cycle Tracker'!$L$2:$L$200,('Current Cycle Tracker'!$B$2:$B$200="Person 2")*('Current Cycle Tracker'!$P$2:$P$200="Yes")),ROWS($A$93:A142)),"")</x:f>
      </x:c>
      <x:c r="I142">
        <x:f>IF(H142="","",IF(H142&gt;=1,"✅","☐"))</x:f>
      </x:c>
      <x:c r="J142">
        <x:f>IFERROR(INDEX(FILTER('Current Cycle Tracker'!$M$2:$M$200,('Current Cycle Tracker'!$B$2:$B$200="Person 2")*('Current Cycle Tracker'!$P$2:$P$200="Yes")),ROWS($A$93:A142)),"")</x:f>
      </x:c>
      <x:c r="K142">
        <x:f>IFERROR(INDEX(FILTER('Current Cycle Tracker'!$N$2:$N$200,('Current Cycle Tracker'!$B$2:$B$200="Person 2")*('Current Cycle Tracker'!$P$2:$P$200="Yes")),ROWS($A$93:A142)),"")</x:f>
      </x:c>
      <x:c r="L142">
        <x:f>IFERROR(INDEX(FILTER('Current Cycle Tracker'!$Q$2:$Q$200,('Current Cycle Tracker'!$B$2:$B$200="Person 2")*('Current Cycle Tracker'!$P$2:$P$200="Yes")),ROWS($A$93:A142)),"")</x:f>
      </x:c>
    </x:row>
    <x:row r="143">
      <x:c r="A143">
        <x:f>IFERROR(INDEX(FILTER('Current Cycle Tracker'!$C$2:$C$200,('Current Cycle Tracker'!$B$2:$B$200="Person 2")*('Current Cycle Tracker'!$P$2:$P$200="Yes")),ROWS($A$93:A143)),"")</x:f>
      </x:c>
      <x:c r="B143">
        <x:f>IFERROR(INDEX(FILTER('Current Cycle Tracker'!$D$2:$D$200,('Current Cycle Tracker'!$B$2:$B$200="Person 2")*('Current Cycle Tracker'!$P$2:$P$200="Yes")),ROWS($A$93:A143)),"")</x:f>
      </x:c>
      <x:c r="C143">
        <x:f>IFERROR(INDEX(FILTER('Current Cycle Tracker'!$G$2:$G$200,('Current Cycle Tracker'!$B$2:$B$200="Person 2")*('Current Cycle Tracker'!$P$2:$P$200="Yes")),ROWS($A$93:A143)),"")</x:f>
      </x:c>
      <x:c r="D143">
        <x:f>IFERROR(INDEX(FILTER('Current Cycle Tracker'!$H$2:$H$200,('Current Cycle Tracker'!$B$2:$B$200="Person 2")*('Current Cycle Tracker'!$P$2:$P$200="Yes")),ROWS($A$93:A143)),"")</x:f>
      </x:c>
      <x:c r="E143">
        <x:f>IFERROR(INDEX(FILTER('Current Cycle Tracker'!$I$2:$I$200,('Current Cycle Tracker'!$B$2:$B$200="Person 2")*('Current Cycle Tracker'!$P$2:$P$200="Yes")),ROWS($A$93:A143)),"")</x:f>
      </x:c>
      <x:c r="F143">
        <x:f>IFERROR(INDEX(FILTER('Current Cycle Tracker'!$J$2:$J$200,('Current Cycle Tracker'!$B$2:$B$200="Person 2")*('Current Cycle Tracker'!$P$2:$P$200="Yes")),ROWS($A$93:A143)),"")</x:f>
      </x:c>
      <x:c r="G143">
        <x:f>IFERROR(INDEX(FILTER('Current Cycle Tracker'!$K$2:$K$200,('Current Cycle Tracker'!$B$2:$B$200="Person 2")*('Current Cycle Tracker'!$P$2:$P$200="Yes")),ROWS($A$93:A143)),"")</x:f>
      </x:c>
      <x:c r="H143">
        <x:f>IFERROR(INDEX(FILTER('Current Cycle Tracker'!$L$2:$L$200,('Current Cycle Tracker'!$B$2:$B$200="Person 2")*('Current Cycle Tracker'!$P$2:$P$200="Yes")),ROWS($A$93:A143)),"")</x:f>
      </x:c>
      <x:c r="I143">
        <x:f>IF(H143="","",IF(H143&gt;=1,"✅","☐"))</x:f>
      </x:c>
      <x:c r="J143">
        <x:f>IFERROR(INDEX(FILTER('Current Cycle Tracker'!$M$2:$M$200,('Current Cycle Tracker'!$B$2:$B$200="Person 2")*('Current Cycle Tracker'!$P$2:$P$200="Yes")),ROWS($A$93:A143)),"")</x:f>
      </x:c>
      <x:c r="K143">
        <x:f>IFERROR(INDEX(FILTER('Current Cycle Tracker'!$N$2:$N$200,('Current Cycle Tracker'!$B$2:$B$200="Person 2")*('Current Cycle Tracker'!$P$2:$P$200="Yes")),ROWS($A$93:A143)),"")</x:f>
      </x:c>
      <x:c r="L143">
        <x:f>IFERROR(INDEX(FILTER('Current Cycle Tracker'!$Q$2:$Q$200,('Current Cycle Tracker'!$B$2:$B$200="Person 2")*('Current Cycle Tracker'!$P$2:$P$200="Yes")),ROWS($A$93:A143)),"")</x:f>
      </x:c>
    </x:row>
    <x:row r="144">
      <x:c r="A144">
        <x:f>IFERROR(INDEX(FILTER('Current Cycle Tracker'!$C$2:$C$200,('Current Cycle Tracker'!$B$2:$B$200="Person 2")*('Current Cycle Tracker'!$P$2:$P$200="Yes")),ROWS($A$93:A144)),"")</x:f>
      </x:c>
      <x:c r="B144">
        <x:f>IFERROR(INDEX(FILTER('Current Cycle Tracker'!$D$2:$D$200,('Current Cycle Tracker'!$B$2:$B$200="Person 2")*('Current Cycle Tracker'!$P$2:$P$200="Yes")),ROWS($A$93:A144)),"")</x:f>
      </x:c>
      <x:c r="C144">
        <x:f>IFERROR(INDEX(FILTER('Current Cycle Tracker'!$G$2:$G$200,('Current Cycle Tracker'!$B$2:$B$200="Person 2")*('Current Cycle Tracker'!$P$2:$P$200="Yes")),ROWS($A$93:A144)),"")</x:f>
      </x:c>
      <x:c r="D144">
        <x:f>IFERROR(INDEX(FILTER('Current Cycle Tracker'!$H$2:$H$200,('Current Cycle Tracker'!$B$2:$B$200="Person 2")*('Current Cycle Tracker'!$P$2:$P$200="Yes")),ROWS($A$93:A144)),"")</x:f>
      </x:c>
      <x:c r="E144">
        <x:f>IFERROR(INDEX(FILTER('Current Cycle Tracker'!$I$2:$I$200,('Current Cycle Tracker'!$B$2:$B$200="Person 2")*('Current Cycle Tracker'!$P$2:$P$200="Yes")),ROWS($A$93:A144)),"")</x:f>
      </x:c>
      <x:c r="F144">
        <x:f>IFERROR(INDEX(FILTER('Current Cycle Tracker'!$J$2:$J$200,('Current Cycle Tracker'!$B$2:$B$200="Person 2")*('Current Cycle Tracker'!$P$2:$P$200="Yes")),ROWS($A$93:A144)),"")</x:f>
      </x:c>
      <x:c r="G144">
        <x:f>IFERROR(INDEX(FILTER('Current Cycle Tracker'!$K$2:$K$200,('Current Cycle Tracker'!$B$2:$B$200="Person 2")*('Current Cycle Tracker'!$P$2:$P$200="Yes")),ROWS($A$93:A144)),"")</x:f>
      </x:c>
      <x:c r="H144">
        <x:f>IFERROR(INDEX(FILTER('Current Cycle Tracker'!$L$2:$L$200,('Current Cycle Tracker'!$B$2:$B$200="Person 2")*('Current Cycle Tracker'!$P$2:$P$200="Yes")),ROWS($A$93:A144)),"")</x:f>
      </x:c>
      <x:c r="I144">
        <x:f>IF(H144="","",IF(H144&gt;=1,"✅","☐"))</x:f>
      </x:c>
      <x:c r="J144">
        <x:f>IFERROR(INDEX(FILTER('Current Cycle Tracker'!$M$2:$M$200,('Current Cycle Tracker'!$B$2:$B$200="Person 2")*('Current Cycle Tracker'!$P$2:$P$200="Yes")),ROWS($A$93:A144)),"")</x:f>
      </x:c>
      <x:c r="K144">
        <x:f>IFERROR(INDEX(FILTER('Current Cycle Tracker'!$N$2:$N$200,('Current Cycle Tracker'!$B$2:$B$200="Person 2")*('Current Cycle Tracker'!$P$2:$P$200="Yes")),ROWS($A$93:A144)),"")</x:f>
      </x:c>
      <x:c r="L144">
        <x:f>IFERROR(INDEX(FILTER('Current Cycle Tracker'!$Q$2:$Q$200,('Current Cycle Tracker'!$B$2:$B$200="Person 2")*('Current Cycle Tracker'!$P$2:$P$200="Yes")),ROWS($A$93:A144)),"")</x:f>
      </x:c>
    </x:row>
    <x:row r="145">
      <x:c r="A145">
        <x:f>IFERROR(INDEX(FILTER('Current Cycle Tracker'!$C$2:$C$200,('Current Cycle Tracker'!$B$2:$B$200="Person 2")*('Current Cycle Tracker'!$P$2:$P$200="Yes")),ROWS($A$93:A145)),"")</x:f>
      </x:c>
      <x:c r="B145">
        <x:f>IFERROR(INDEX(FILTER('Current Cycle Tracker'!$D$2:$D$200,('Current Cycle Tracker'!$B$2:$B$200="Person 2")*('Current Cycle Tracker'!$P$2:$P$200="Yes")),ROWS($A$93:A145)),"")</x:f>
      </x:c>
      <x:c r="C145">
        <x:f>IFERROR(INDEX(FILTER('Current Cycle Tracker'!$G$2:$G$200,('Current Cycle Tracker'!$B$2:$B$200="Person 2")*('Current Cycle Tracker'!$P$2:$P$200="Yes")),ROWS($A$93:A145)),"")</x:f>
      </x:c>
      <x:c r="D145">
        <x:f>IFERROR(INDEX(FILTER('Current Cycle Tracker'!$H$2:$H$200,('Current Cycle Tracker'!$B$2:$B$200="Person 2")*('Current Cycle Tracker'!$P$2:$P$200="Yes")),ROWS($A$93:A145)),"")</x:f>
      </x:c>
      <x:c r="E145">
        <x:f>IFERROR(INDEX(FILTER('Current Cycle Tracker'!$I$2:$I$200,('Current Cycle Tracker'!$B$2:$B$200="Person 2")*('Current Cycle Tracker'!$P$2:$P$200="Yes")),ROWS($A$93:A145)),"")</x:f>
      </x:c>
      <x:c r="F145">
        <x:f>IFERROR(INDEX(FILTER('Current Cycle Tracker'!$J$2:$J$200,('Current Cycle Tracker'!$B$2:$B$200="Person 2")*('Current Cycle Tracker'!$P$2:$P$200="Yes")),ROWS($A$93:A145)),"")</x:f>
      </x:c>
      <x:c r="G145">
        <x:f>IFERROR(INDEX(FILTER('Current Cycle Tracker'!$K$2:$K$200,('Current Cycle Tracker'!$B$2:$B$200="Person 2")*('Current Cycle Tracker'!$P$2:$P$200="Yes")),ROWS($A$93:A145)),"")</x:f>
      </x:c>
      <x:c r="H145">
        <x:f>IFERROR(INDEX(FILTER('Current Cycle Tracker'!$L$2:$L$200,('Current Cycle Tracker'!$B$2:$B$200="Person 2")*('Current Cycle Tracker'!$P$2:$P$200="Yes")),ROWS($A$93:A145)),"")</x:f>
      </x:c>
      <x:c r="I145">
        <x:f>IF(H145="","",IF(H145&gt;=1,"✅","☐"))</x:f>
      </x:c>
      <x:c r="J145">
        <x:f>IFERROR(INDEX(FILTER('Current Cycle Tracker'!$M$2:$M$200,('Current Cycle Tracker'!$B$2:$B$200="Person 2")*('Current Cycle Tracker'!$P$2:$P$200="Yes")),ROWS($A$93:A145)),"")</x:f>
      </x:c>
      <x:c r="K145">
        <x:f>IFERROR(INDEX(FILTER('Current Cycle Tracker'!$N$2:$N$200,('Current Cycle Tracker'!$B$2:$B$200="Person 2")*('Current Cycle Tracker'!$P$2:$P$200="Yes")),ROWS($A$93:A145)),"")</x:f>
      </x:c>
      <x:c r="L145">
        <x:f>IFERROR(INDEX(FILTER('Current Cycle Tracker'!$Q$2:$Q$200,('Current Cycle Tracker'!$B$2:$B$200="Person 2")*('Current Cycle Tracker'!$P$2:$P$200="Yes")),ROWS($A$93:A145)),"")</x:f>
      </x:c>
    </x:row>
    <x:row r="146">
      <x:c r="A146">
        <x:f>IFERROR(INDEX(FILTER('Current Cycle Tracker'!$C$2:$C$200,('Current Cycle Tracker'!$B$2:$B$200="Person 2")*('Current Cycle Tracker'!$P$2:$P$200="Yes")),ROWS($A$93:A146)),"")</x:f>
      </x:c>
      <x:c r="B146">
        <x:f>IFERROR(INDEX(FILTER('Current Cycle Tracker'!$D$2:$D$200,('Current Cycle Tracker'!$B$2:$B$200="Person 2")*('Current Cycle Tracker'!$P$2:$P$200="Yes")),ROWS($A$93:A146)),"")</x:f>
      </x:c>
      <x:c r="C146">
        <x:f>IFERROR(INDEX(FILTER('Current Cycle Tracker'!$G$2:$G$200,('Current Cycle Tracker'!$B$2:$B$200="Person 2")*('Current Cycle Tracker'!$P$2:$P$200="Yes")),ROWS($A$93:A146)),"")</x:f>
      </x:c>
      <x:c r="D146">
        <x:f>IFERROR(INDEX(FILTER('Current Cycle Tracker'!$H$2:$H$200,('Current Cycle Tracker'!$B$2:$B$200="Person 2")*('Current Cycle Tracker'!$P$2:$P$200="Yes")),ROWS($A$93:A146)),"")</x:f>
      </x:c>
      <x:c r="E146">
        <x:f>IFERROR(INDEX(FILTER('Current Cycle Tracker'!$I$2:$I$200,('Current Cycle Tracker'!$B$2:$B$200="Person 2")*('Current Cycle Tracker'!$P$2:$P$200="Yes")),ROWS($A$93:A146)),"")</x:f>
      </x:c>
      <x:c r="F146">
        <x:f>IFERROR(INDEX(FILTER('Current Cycle Tracker'!$J$2:$J$200,('Current Cycle Tracker'!$B$2:$B$200="Person 2")*('Current Cycle Tracker'!$P$2:$P$200="Yes")),ROWS($A$93:A146)),"")</x:f>
      </x:c>
      <x:c r="G146">
        <x:f>IFERROR(INDEX(FILTER('Current Cycle Tracker'!$K$2:$K$200,('Current Cycle Tracker'!$B$2:$B$200="Person 2")*('Current Cycle Tracker'!$P$2:$P$200="Yes")),ROWS($A$93:A146)),"")</x:f>
      </x:c>
      <x:c r="H146">
        <x:f>IFERROR(INDEX(FILTER('Current Cycle Tracker'!$L$2:$L$200,('Current Cycle Tracker'!$B$2:$B$200="Person 2")*('Current Cycle Tracker'!$P$2:$P$200="Yes")),ROWS($A$93:A146)),"")</x:f>
      </x:c>
      <x:c r="I146">
        <x:f>IF(H146="","",IF(H146&gt;=1,"✅","☐"))</x:f>
      </x:c>
      <x:c r="J146">
        <x:f>IFERROR(INDEX(FILTER('Current Cycle Tracker'!$M$2:$M$200,('Current Cycle Tracker'!$B$2:$B$200="Person 2")*('Current Cycle Tracker'!$P$2:$P$200="Yes")),ROWS($A$93:A146)),"")</x:f>
      </x:c>
      <x:c r="K146">
        <x:f>IFERROR(INDEX(FILTER('Current Cycle Tracker'!$N$2:$N$200,('Current Cycle Tracker'!$B$2:$B$200="Person 2")*('Current Cycle Tracker'!$P$2:$P$200="Yes")),ROWS($A$93:A146)),"")</x:f>
      </x:c>
      <x:c r="L146">
        <x:f>IFERROR(INDEX(FILTER('Current Cycle Tracker'!$Q$2:$Q$200,('Current Cycle Tracker'!$B$2:$B$200="Person 2")*('Current Cycle Tracker'!$P$2:$P$200="Yes")),ROWS($A$93:A146)),"")</x:f>
      </x:c>
    </x:row>
    <x:row r="147">
      <x:c r="A147">
        <x:f>IFERROR(INDEX(FILTER('Current Cycle Tracker'!$C$2:$C$200,('Current Cycle Tracker'!$B$2:$B$200="Person 2")*('Current Cycle Tracker'!$P$2:$P$200="Yes")),ROWS($A$93:A147)),"")</x:f>
      </x:c>
      <x:c r="B147">
        <x:f>IFERROR(INDEX(FILTER('Current Cycle Tracker'!$D$2:$D$200,('Current Cycle Tracker'!$B$2:$B$200="Person 2")*('Current Cycle Tracker'!$P$2:$P$200="Yes")),ROWS($A$93:A147)),"")</x:f>
      </x:c>
      <x:c r="C147">
        <x:f>IFERROR(INDEX(FILTER('Current Cycle Tracker'!$G$2:$G$200,('Current Cycle Tracker'!$B$2:$B$200="Person 2")*('Current Cycle Tracker'!$P$2:$P$200="Yes")),ROWS($A$93:A147)),"")</x:f>
      </x:c>
      <x:c r="D147">
        <x:f>IFERROR(INDEX(FILTER('Current Cycle Tracker'!$H$2:$H$200,('Current Cycle Tracker'!$B$2:$B$200="Person 2")*('Current Cycle Tracker'!$P$2:$P$200="Yes")),ROWS($A$93:A147)),"")</x:f>
      </x:c>
      <x:c r="E147">
        <x:f>IFERROR(INDEX(FILTER('Current Cycle Tracker'!$I$2:$I$200,('Current Cycle Tracker'!$B$2:$B$200="Person 2")*('Current Cycle Tracker'!$P$2:$P$200="Yes")),ROWS($A$93:A147)),"")</x:f>
      </x:c>
      <x:c r="F147">
        <x:f>IFERROR(INDEX(FILTER('Current Cycle Tracker'!$J$2:$J$200,('Current Cycle Tracker'!$B$2:$B$200="Person 2")*('Current Cycle Tracker'!$P$2:$P$200="Yes")),ROWS($A$93:A147)),"")</x:f>
      </x:c>
      <x:c r="G147">
        <x:f>IFERROR(INDEX(FILTER('Current Cycle Tracker'!$K$2:$K$200,('Current Cycle Tracker'!$B$2:$B$200="Person 2")*('Current Cycle Tracker'!$P$2:$P$200="Yes")),ROWS($A$93:A147)),"")</x:f>
      </x:c>
      <x:c r="H147">
        <x:f>IFERROR(INDEX(FILTER('Current Cycle Tracker'!$L$2:$L$200,('Current Cycle Tracker'!$B$2:$B$200="Person 2")*('Current Cycle Tracker'!$P$2:$P$200="Yes")),ROWS($A$93:A147)),"")</x:f>
      </x:c>
      <x:c r="I147">
        <x:f>IF(H147="","",IF(H147&gt;=1,"✅","☐"))</x:f>
      </x:c>
      <x:c r="J147">
        <x:f>IFERROR(INDEX(FILTER('Current Cycle Tracker'!$M$2:$M$200,('Current Cycle Tracker'!$B$2:$B$200="Person 2")*('Current Cycle Tracker'!$P$2:$P$200="Yes")),ROWS($A$93:A147)),"")</x:f>
      </x:c>
      <x:c r="K147">
        <x:f>IFERROR(INDEX(FILTER('Current Cycle Tracker'!$N$2:$N$200,('Current Cycle Tracker'!$B$2:$B$200="Person 2")*('Current Cycle Tracker'!$P$2:$P$200="Yes")),ROWS($A$93:A147)),"")</x:f>
      </x:c>
      <x:c r="L147">
        <x:f>IFERROR(INDEX(FILTER('Current Cycle Tracker'!$Q$2:$Q$200,('Current Cycle Tracker'!$B$2:$B$200="Person 2")*('Current Cycle Tracker'!$P$2:$P$200="Yes")),ROWS($A$93:A147)),"")</x:f>
      </x:c>
    </x:row>
    <x:row r="148">
      <x:c r="A148">
        <x:f>IFERROR(INDEX(FILTER('Current Cycle Tracker'!$C$2:$C$200,('Current Cycle Tracker'!$B$2:$B$200="Person 2")*('Current Cycle Tracker'!$P$2:$P$200="Yes")),ROWS($A$93:A148)),"")</x:f>
      </x:c>
      <x:c r="B148">
        <x:f>IFERROR(INDEX(FILTER('Current Cycle Tracker'!$D$2:$D$200,('Current Cycle Tracker'!$B$2:$B$200="Person 2")*('Current Cycle Tracker'!$P$2:$P$200="Yes")),ROWS($A$93:A148)),"")</x:f>
      </x:c>
      <x:c r="C148">
        <x:f>IFERROR(INDEX(FILTER('Current Cycle Tracker'!$G$2:$G$200,('Current Cycle Tracker'!$B$2:$B$200="Person 2")*('Current Cycle Tracker'!$P$2:$P$200="Yes")),ROWS($A$93:A148)),"")</x:f>
      </x:c>
      <x:c r="D148">
        <x:f>IFERROR(INDEX(FILTER('Current Cycle Tracker'!$H$2:$H$200,('Current Cycle Tracker'!$B$2:$B$200="Person 2")*('Current Cycle Tracker'!$P$2:$P$200="Yes")),ROWS($A$93:A148)),"")</x:f>
      </x:c>
      <x:c r="E148">
        <x:f>IFERROR(INDEX(FILTER('Current Cycle Tracker'!$I$2:$I$200,('Current Cycle Tracker'!$B$2:$B$200="Person 2")*('Current Cycle Tracker'!$P$2:$P$200="Yes")),ROWS($A$93:A148)),"")</x:f>
      </x:c>
      <x:c r="F148">
        <x:f>IFERROR(INDEX(FILTER('Current Cycle Tracker'!$J$2:$J$200,('Current Cycle Tracker'!$B$2:$B$200="Person 2")*('Current Cycle Tracker'!$P$2:$P$200="Yes")),ROWS($A$93:A148)),"")</x:f>
      </x:c>
      <x:c r="G148">
        <x:f>IFERROR(INDEX(FILTER('Current Cycle Tracker'!$K$2:$K$200,('Current Cycle Tracker'!$B$2:$B$200="Person 2")*('Current Cycle Tracker'!$P$2:$P$200="Yes")),ROWS($A$93:A148)),"")</x:f>
      </x:c>
      <x:c r="H148">
        <x:f>IFERROR(INDEX(FILTER('Current Cycle Tracker'!$L$2:$L$200,('Current Cycle Tracker'!$B$2:$B$200="Person 2")*('Current Cycle Tracker'!$P$2:$P$200="Yes")),ROWS($A$93:A148)),"")</x:f>
      </x:c>
      <x:c r="I148">
        <x:f>IF(H148="","",IF(H148&gt;=1,"✅","☐"))</x:f>
      </x:c>
      <x:c r="J148">
        <x:f>IFERROR(INDEX(FILTER('Current Cycle Tracker'!$M$2:$M$200,('Current Cycle Tracker'!$B$2:$B$200="Person 2")*('Current Cycle Tracker'!$P$2:$P$200="Yes")),ROWS($A$93:A148)),"")</x:f>
      </x:c>
      <x:c r="K148">
        <x:f>IFERROR(INDEX(FILTER('Current Cycle Tracker'!$N$2:$N$200,('Current Cycle Tracker'!$B$2:$B$200="Person 2")*('Current Cycle Tracker'!$P$2:$P$200="Yes")),ROWS($A$93:A148)),"")</x:f>
      </x:c>
      <x:c r="L148">
        <x:f>IFERROR(INDEX(FILTER('Current Cycle Tracker'!$Q$2:$Q$200,('Current Cycle Tracker'!$B$2:$B$200="Person 2")*('Current Cycle Tracker'!$P$2:$P$200="Yes")),ROWS($A$93:A148)),"")</x:f>
      </x:c>
    </x:row>
    <x:row r="149">
      <x:c r="A149">
        <x:f>IFERROR(INDEX(FILTER('Current Cycle Tracker'!$C$2:$C$200,('Current Cycle Tracker'!$B$2:$B$200="Person 2")*('Current Cycle Tracker'!$P$2:$P$200="Yes")),ROWS($A$93:A149)),"")</x:f>
      </x:c>
      <x:c r="B149">
        <x:f>IFERROR(INDEX(FILTER('Current Cycle Tracker'!$D$2:$D$200,('Current Cycle Tracker'!$B$2:$B$200="Person 2")*('Current Cycle Tracker'!$P$2:$P$200="Yes")),ROWS($A$93:A149)),"")</x:f>
      </x:c>
      <x:c r="C149">
        <x:f>IFERROR(INDEX(FILTER('Current Cycle Tracker'!$G$2:$G$200,('Current Cycle Tracker'!$B$2:$B$200="Person 2")*('Current Cycle Tracker'!$P$2:$P$200="Yes")),ROWS($A$93:A149)),"")</x:f>
      </x:c>
      <x:c r="D149">
        <x:f>IFERROR(INDEX(FILTER('Current Cycle Tracker'!$H$2:$H$200,('Current Cycle Tracker'!$B$2:$B$200="Person 2")*('Current Cycle Tracker'!$P$2:$P$200="Yes")),ROWS($A$93:A149)),"")</x:f>
      </x:c>
      <x:c r="E149">
        <x:f>IFERROR(INDEX(FILTER('Current Cycle Tracker'!$I$2:$I$200,('Current Cycle Tracker'!$B$2:$B$200="Person 2")*('Current Cycle Tracker'!$P$2:$P$200="Yes")),ROWS($A$93:A149)),"")</x:f>
      </x:c>
      <x:c r="F149">
        <x:f>IFERROR(INDEX(FILTER('Current Cycle Tracker'!$J$2:$J$200,('Current Cycle Tracker'!$B$2:$B$200="Person 2")*('Current Cycle Tracker'!$P$2:$P$200="Yes")),ROWS($A$93:A149)),"")</x:f>
      </x:c>
      <x:c r="G149">
        <x:f>IFERROR(INDEX(FILTER('Current Cycle Tracker'!$K$2:$K$200,('Current Cycle Tracker'!$B$2:$B$200="Person 2")*('Current Cycle Tracker'!$P$2:$P$200="Yes")),ROWS($A$93:A149)),"")</x:f>
      </x:c>
      <x:c r="H149">
        <x:f>IFERROR(INDEX(FILTER('Current Cycle Tracker'!$L$2:$L$200,('Current Cycle Tracker'!$B$2:$B$200="Person 2")*('Current Cycle Tracker'!$P$2:$P$200="Yes")),ROWS($A$93:A149)),"")</x:f>
      </x:c>
      <x:c r="I149">
        <x:f>IF(H149="","",IF(H149&gt;=1,"✅","☐"))</x:f>
      </x:c>
      <x:c r="J149">
        <x:f>IFERROR(INDEX(FILTER('Current Cycle Tracker'!$M$2:$M$200,('Current Cycle Tracker'!$B$2:$B$200="Person 2")*('Current Cycle Tracker'!$P$2:$P$200="Yes")),ROWS($A$93:A149)),"")</x:f>
      </x:c>
      <x:c r="K149">
        <x:f>IFERROR(INDEX(FILTER('Current Cycle Tracker'!$N$2:$N$200,('Current Cycle Tracker'!$B$2:$B$200="Person 2")*('Current Cycle Tracker'!$P$2:$P$200="Yes")),ROWS($A$93:A149)),"")</x:f>
      </x:c>
      <x:c r="L149">
        <x:f>IFERROR(INDEX(FILTER('Current Cycle Tracker'!$Q$2:$Q$200,('Current Cycle Tracker'!$B$2:$B$200="Person 2")*('Current Cycle Tracker'!$P$2:$P$200="Yes")),ROWS($A$93:A149)),"")</x:f>
      </x:c>
    </x:row>
    <x:row r="150">
      <x:c r="A150">
        <x:f>IFERROR(INDEX(FILTER('Current Cycle Tracker'!$C$2:$C$200,('Current Cycle Tracker'!$B$2:$B$200="Person 2")*('Current Cycle Tracker'!$P$2:$P$200="Yes")),ROWS($A$93:A150)),"")</x:f>
      </x:c>
      <x:c r="B150">
        <x:f>IFERROR(INDEX(FILTER('Current Cycle Tracker'!$D$2:$D$200,('Current Cycle Tracker'!$B$2:$B$200="Person 2")*('Current Cycle Tracker'!$P$2:$P$200="Yes")),ROWS($A$93:A150)),"")</x:f>
      </x:c>
      <x:c r="C150">
        <x:f>IFERROR(INDEX(FILTER('Current Cycle Tracker'!$G$2:$G$200,('Current Cycle Tracker'!$B$2:$B$200="Person 2")*('Current Cycle Tracker'!$P$2:$P$200="Yes")),ROWS($A$93:A150)),"")</x:f>
      </x:c>
      <x:c r="D150">
        <x:f>IFERROR(INDEX(FILTER('Current Cycle Tracker'!$H$2:$H$200,('Current Cycle Tracker'!$B$2:$B$200="Person 2")*('Current Cycle Tracker'!$P$2:$P$200="Yes")),ROWS($A$93:A150)),"")</x:f>
      </x:c>
      <x:c r="E150">
        <x:f>IFERROR(INDEX(FILTER('Current Cycle Tracker'!$I$2:$I$200,('Current Cycle Tracker'!$B$2:$B$200="Person 2")*('Current Cycle Tracker'!$P$2:$P$200="Yes")),ROWS($A$93:A150)),"")</x:f>
      </x:c>
      <x:c r="F150">
        <x:f>IFERROR(INDEX(FILTER('Current Cycle Tracker'!$J$2:$J$200,('Current Cycle Tracker'!$B$2:$B$200="Person 2")*('Current Cycle Tracker'!$P$2:$P$200="Yes")),ROWS($A$93:A150)),"")</x:f>
      </x:c>
      <x:c r="G150">
        <x:f>IFERROR(INDEX(FILTER('Current Cycle Tracker'!$K$2:$K$200,('Current Cycle Tracker'!$B$2:$B$200="Person 2")*('Current Cycle Tracker'!$P$2:$P$200="Yes")),ROWS($A$93:A150)),"")</x:f>
      </x:c>
      <x:c r="H150">
        <x:f>IFERROR(INDEX(FILTER('Current Cycle Tracker'!$L$2:$L$200,('Current Cycle Tracker'!$B$2:$B$200="Person 2")*('Current Cycle Tracker'!$P$2:$P$200="Yes")),ROWS($A$93:A150)),"")</x:f>
      </x:c>
      <x:c r="I150">
        <x:f>IF(H150="","",IF(H150&gt;=1,"✅","☐"))</x:f>
      </x:c>
      <x:c r="J150">
        <x:f>IFERROR(INDEX(FILTER('Current Cycle Tracker'!$M$2:$M$200,('Current Cycle Tracker'!$B$2:$B$200="Person 2")*('Current Cycle Tracker'!$P$2:$P$200="Yes")),ROWS($A$93:A150)),"")</x:f>
      </x:c>
      <x:c r="K150">
        <x:f>IFERROR(INDEX(FILTER('Current Cycle Tracker'!$N$2:$N$200,('Current Cycle Tracker'!$B$2:$B$200="Person 2")*('Current Cycle Tracker'!$P$2:$P$200="Yes")),ROWS($A$93:A150)),"")</x:f>
      </x:c>
      <x:c r="L150">
        <x:f>IFERROR(INDEX(FILTER('Current Cycle Tracker'!$Q$2:$Q$200,('Current Cycle Tracker'!$B$2:$B$200="Person 2")*('Current Cycle Tracker'!$P$2:$P$200="Yes")),ROWS($A$93:A150)),"")</x:f>
      </x:c>
    </x:row>
    <x:row r="151">
      <x:c r="A151">
        <x:f>IFERROR(INDEX(FILTER('Current Cycle Tracker'!$C$2:$C$200,('Current Cycle Tracker'!$B$2:$B$200="Person 2")*('Current Cycle Tracker'!$P$2:$P$200="Yes")),ROWS($A$93:A151)),"")</x:f>
      </x:c>
      <x:c r="B151">
        <x:f>IFERROR(INDEX(FILTER('Current Cycle Tracker'!$D$2:$D$200,('Current Cycle Tracker'!$B$2:$B$200="Person 2")*('Current Cycle Tracker'!$P$2:$P$200="Yes")),ROWS($A$93:A151)),"")</x:f>
      </x:c>
      <x:c r="C151">
        <x:f>IFERROR(INDEX(FILTER('Current Cycle Tracker'!$G$2:$G$200,('Current Cycle Tracker'!$B$2:$B$200="Person 2")*('Current Cycle Tracker'!$P$2:$P$200="Yes")),ROWS($A$93:A151)),"")</x:f>
      </x:c>
      <x:c r="D151">
        <x:f>IFERROR(INDEX(FILTER('Current Cycle Tracker'!$H$2:$H$200,('Current Cycle Tracker'!$B$2:$B$200="Person 2")*('Current Cycle Tracker'!$P$2:$P$200="Yes")),ROWS($A$93:A151)),"")</x:f>
      </x:c>
      <x:c r="E151">
        <x:f>IFERROR(INDEX(FILTER('Current Cycle Tracker'!$I$2:$I$200,('Current Cycle Tracker'!$B$2:$B$200="Person 2")*('Current Cycle Tracker'!$P$2:$P$200="Yes")),ROWS($A$93:A151)),"")</x:f>
      </x:c>
      <x:c r="F151">
        <x:f>IFERROR(INDEX(FILTER('Current Cycle Tracker'!$J$2:$J$200,('Current Cycle Tracker'!$B$2:$B$200="Person 2")*('Current Cycle Tracker'!$P$2:$P$200="Yes")),ROWS($A$93:A151)),"")</x:f>
      </x:c>
      <x:c r="G151">
        <x:f>IFERROR(INDEX(FILTER('Current Cycle Tracker'!$K$2:$K$200,('Current Cycle Tracker'!$B$2:$B$200="Person 2")*('Current Cycle Tracker'!$P$2:$P$200="Yes")),ROWS($A$93:A151)),"")</x:f>
      </x:c>
      <x:c r="H151">
        <x:f>IFERROR(INDEX(FILTER('Current Cycle Tracker'!$L$2:$L$200,('Current Cycle Tracker'!$B$2:$B$200="Person 2")*('Current Cycle Tracker'!$P$2:$P$200="Yes")),ROWS($A$93:A151)),"")</x:f>
      </x:c>
      <x:c r="I151">
        <x:f>IF(H151="","",IF(H151&gt;=1,"✅","☐"))</x:f>
      </x:c>
      <x:c r="J151">
        <x:f>IFERROR(INDEX(FILTER('Current Cycle Tracker'!$M$2:$M$200,('Current Cycle Tracker'!$B$2:$B$200="Person 2")*('Current Cycle Tracker'!$P$2:$P$200="Yes")),ROWS($A$93:A151)),"")</x:f>
      </x:c>
      <x:c r="K151">
        <x:f>IFERROR(INDEX(FILTER('Current Cycle Tracker'!$N$2:$N$200,('Current Cycle Tracker'!$B$2:$B$200="Person 2")*('Current Cycle Tracker'!$P$2:$P$200="Yes")),ROWS($A$93:A151)),"")</x:f>
      </x:c>
      <x:c r="L151">
        <x:f>IFERROR(INDEX(FILTER('Current Cycle Tracker'!$Q$2:$Q$200,('Current Cycle Tracker'!$B$2:$B$200="Person 2")*('Current Cycle Tracker'!$P$2:$P$200="Yes")),ROWS($A$93:A151)),"")</x:f>
      </x:c>
    </x:row>
    <x:row r="152">
      <x:c r="A152">
        <x:f>IFERROR(INDEX(FILTER('Current Cycle Tracker'!$C$2:$C$200,('Current Cycle Tracker'!$B$2:$B$200="Person 2")*('Current Cycle Tracker'!$P$2:$P$200="Yes")),ROWS($A$93:A152)),"")</x:f>
      </x:c>
      <x:c r="B152">
        <x:f>IFERROR(INDEX(FILTER('Current Cycle Tracker'!$D$2:$D$200,('Current Cycle Tracker'!$B$2:$B$200="Person 2")*('Current Cycle Tracker'!$P$2:$P$200="Yes")),ROWS($A$93:A152)),"")</x:f>
      </x:c>
      <x:c r="C152">
        <x:f>IFERROR(INDEX(FILTER('Current Cycle Tracker'!$G$2:$G$200,('Current Cycle Tracker'!$B$2:$B$200="Person 2")*('Current Cycle Tracker'!$P$2:$P$200="Yes")),ROWS($A$93:A152)),"")</x:f>
      </x:c>
      <x:c r="D152">
        <x:f>IFERROR(INDEX(FILTER('Current Cycle Tracker'!$H$2:$H$200,('Current Cycle Tracker'!$B$2:$B$200="Person 2")*('Current Cycle Tracker'!$P$2:$P$200="Yes")),ROWS($A$93:A152)),"")</x:f>
      </x:c>
      <x:c r="E152">
        <x:f>IFERROR(INDEX(FILTER('Current Cycle Tracker'!$I$2:$I$200,('Current Cycle Tracker'!$B$2:$B$200="Person 2")*('Current Cycle Tracker'!$P$2:$P$200="Yes")),ROWS($A$93:A152)),"")</x:f>
      </x:c>
      <x:c r="F152">
        <x:f>IFERROR(INDEX(FILTER('Current Cycle Tracker'!$J$2:$J$200,('Current Cycle Tracker'!$B$2:$B$200="Person 2")*('Current Cycle Tracker'!$P$2:$P$200="Yes")),ROWS($A$93:A152)),"")</x:f>
      </x:c>
      <x:c r="G152">
        <x:f>IFERROR(INDEX(FILTER('Current Cycle Tracker'!$K$2:$K$200,('Current Cycle Tracker'!$B$2:$B$200="Person 2")*('Current Cycle Tracker'!$P$2:$P$200="Yes")),ROWS($A$93:A152)),"")</x:f>
      </x:c>
      <x:c r="H152">
        <x:f>IFERROR(INDEX(FILTER('Current Cycle Tracker'!$L$2:$L$200,('Current Cycle Tracker'!$B$2:$B$200="Person 2")*('Current Cycle Tracker'!$P$2:$P$200="Yes")),ROWS($A$93:A152)),"")</x:f>
      </x:c>
      <x:c r="I152">
        <x:f>IF(H152="","",IF(H152&gt;=1,"✅","☐"))</x:f>
      </x:c>
      <x:c r="J152">
        <x:f>IFERROR(INDEX(FILTER('Current Cycle Tracker'!$M$2:$M$200,('Current Cycle Tracker'!$B$2:$B$200="Person 2")*('Current Cycle Tracker'!$P$2:$P$200="Yes")),ROWS($A$93:A152)),"")</x:f>
      </x:c>
      <x:c r="K152">
        <x:f>IFERROR(INDEX(FILTER('Current Cycle Tracker'!$N$2:$N$200,('Current Cycle Tracker'!$B$2:$B$200="Person 2")*('Current Cycle Tracker'!$P$2:$P$200="Yes")),ROWS($A$93:A152)),"")</x:f>
      </x:c>
      <x:c r="L152">
        <x:f>IFERROR(INDEX(FILTER('Current Cycle Tracker'!$Q$2:$Q$200,('Current Cycle Tracker'!$B$2:$B$200="Person 2")*('Current Cycle Tracker'!$P$2:$P$200="Yes")),ROWS($A$93:A152)),"")</x:f>
      </x:c>
    </x:row>
    <x:row r="153">
      <x:c r="A153">
        <x:f>IFERROR(INDEX(FILTER('Current Cycle Tracker'!$C$2:$C$200,('Current Cycle Tracker'!$B$2:$B$200="Person 2")*('Current Cycle Tracker'!$P$2:$P$200="Yes")),ROWS($A$93:A153)),"")</x:f>
      </x:c>
      <x:c r="B153">
        <x:f>IFERROR(INDEX(FILTER('Current Cycle Tracker'!$D$2:$D$200,('Current Cycle Tracker'!$B$2:$B$200="Person 2")*('Current Cycle Tracker'!$P$2:$P$200="Yes")),ROWS($A$93:A153)),"")</x:f>
      </x:c>
      <x:c r="C153">
        <x:f>IFERROR(INDEX(FILTER('Current Cycle Tracker'!$G$2:$G$200,('Current Cycle Tracker'!$B$2:$B$200="Person 2")*('Current Cycle Tracker'!$P$2:$P$200="Yes")),ROWS($A$93:A153)),"")</x:f>
      </x:c>
      <x:c r="D153">
        <x:f>IFERROR(INDEX(FILTER('Current Cycle Tracker'!$H$2:$H$200,('Current Cycle Tracker'!$B$2:$B$200="Person 2")*('Current Cycle Tracker'!$P$2:$P$200="Yes")),ROWS($A$93:A153)),"")</x:f>
      </x:c>
      <x:c r="E153">
        <x:f>IFERROR(INDEX(FILTER('Current Cycle Tracker'!$I$2:$I$200,('Current Cycle Tracker'!$B$2:$B$200="Person 2")*('Current Cycle Tracker'!$P$2:$P$200="Yes")),ROWS($A$93:A153)),"")</x:f>
      </x:c>
      <x:c r="F153">
        <x:f>IFERROR(INDEX(FILTER('Current Cycle Tracker'!$J$2:$J$200,('Current Cycle Tracker'!$B$2:$B$200="Person 2")*('Current Cycle Tracker'!$P$2:$P$200="Yes")),ROWS($A$93:A153)),"")</x:f>
      </x:c>
      <x:c r="G153">
        <x:f>IFERROR(INDEX(FILTER('Current Cycle Tracker'!$K$2:$K$200,('Current Cycle Tracker'!$B$2:$B$200="Person 2")*('Current Cycle Tracker'!$P$2:$P$200="Yes")),ROWS($A$93:A153)),"")</x:f>
      </x:c>
      <x:c r="H153">
        <x:f>IFERROR(INDEX(FILTER('Current Cycle Tracker'!$L$2:$L$200,('Current Cycle Tracker'!$B$2:$B$200="Person 2")*('Current Cycle Tracker'!$P$2:$P$200="Yes")),ROWS($A$93:A153)),"")</x:f>
      </x:c>
      <x:c r="I153">
        <x:f>IF(H153="","",IF(H153&gt;=1,"✅","☐"))</x:f>
      </x:c>
      <x:c r="J153">
        <x:f>IFERROR(INDEX(FILTER('Current Cycle Tracker'!$M$2:$M$200,('Current Cycle Tracker'!$B$2:$B$200="Person 2")*('Current Cycle Tracker'!$P$2:$P$200="Yes")),ROWS($A$93:A153)),"")</x:f>
      </x:c>
      <x:c r="K153">
        <x:f>IFERROR(INDEX(FILTER('Current Cycle Tracker'!$N$2:$N$200,('Current Cycle Tracker'!$B$2:$B$200="Person 2")*('Current Cycle Tracker'!$P$2:$P$200="Yes")),ROWS($A$93:A153)),"")</x:f>
      </x:c>
      <x:c r="L153">
        <x:f>IFERROR(INDEX(FILTER('Current Cycle Tracker'!$Q$2:$Q$200,('Current Cycle Tracker'!$B$2:$B$200="Person 2")*('Current Cycle Tracker'!$P$2:$P$200="Yes")),ROWS($A$93:A153)),"")</x:f>
      </x:c>
    </x:row>
    <x:row r="154">
      <x:c r="A154">
        <x:f>IFERROR(INDEX(FILTER('Current Cycle Tracker'!$C$2:$C$200,('Current Cycle Tracker'!$B$2:$B$200="Person 2")*('Current Cycle Tracker'!$P$2:$P$200="Yes")),ROWS($A$93:A154)),"")</x:f>
      </x:c>
      <x:c r="B154">
        <x:f>IFERROR(INDEX(FILTER('Current Cycle Tracker'!$D$2:$D$200,('Current Cycle Tracker'!$B$2:$B$200="Person 2")*('Current Cycle Tracker'!$P$2:$P$200="Yes")),ROWS($A$93:A154)),"")</x:f>
      </x:c>
      <x:c r="C154">
        <x:f>IFERROR(INDEX(FILTER('Current Cycle Tracker'!$G$2:$G$200,('Current Cycle Tracker'!$B$2:$B$200="Person 2")*('Current Cycle Tracker'!$P$2:$P$200="Yes")),ROWS($A$93:A154)),"")</x:f>
      </x:c>
      <x:c r="D154">
        <x:f>IFERROR(INDEX(FILTER('Current Cycle Tracker'!$H$2:$H$200,('Current Cycle Tracker'!$B$2:$B$200="Person 2")*('Current Cycle Tracker'!$P$2:$P$200="Yes")),ROWS($A$93:A154)),"")</x:f>
      </x:c>
      <x:c r="E154">
        <x:f>IFERROR(INDEX(FILTER('Current Cycle Tracker'!$I$2:$I$200,('Current Cycle Tracker'!$B$2:$B$200="Person 2")*('Current Cycle Tracker'!$P$2:$P$200="Yes")),ROWS($A$93:A154)),"")</x:f>
      </x:c>
      <x:c r="F154">
        <x:f>IFERROR(INDEX(FILTER('Current Cycle Tracker'!$J$2:$J$200,('Current Cycle Tracker'!$B$2:$B$200="Person 2")*('Current Cycle Tracker'!$P$2:$P$200="Yes")),ROWS($A$93:A154)),"")</x:f>
      </x:c>
      <x:c r="G154">
        <x:f>IFERROR(INDEX(FILTER('Current Cycle Tracker'!$K$2:$K$200,('Current Cycle Tracker'!$B$2:$B$200="Person 2")*('Current Cycle Tracker'!$P$2:$P$200="Yes")),ROWS($A$93:A154)),"")</x:f>
      </x:c>
      <x:c r="H154">
        <x:f>IFERROR(INDEX(FILTER('Current Cycle Tracker'!$L$2:$L$200,('Current Cycle Tracker'!$B$2:$B$200="Person 2")*('Current Cycle Tracker'!$P$2:$P$200="Yes")),ROWS($A$93:A154)),"")</x:f>
      </x:c>
      <x:c r="I154">
        <x:f>IF(H154="","",IF(H154&gt;=1,"✅","☐"))</x:f>
      </x:c>
      <x:c r="J154">
        <x:f>IFERROR(INDEX(FILTER('Current Cycle Tracker'!$M$2:$M$200,('Current Cycle Tracker'!$B$2:$B$200="Person 2")*('Current Cycle Tracker'!$P$2:$P$200="Yes")),ROWS($A$93:A154)),"")</x:f>
      </x:c>
      <x:c r="K154">
        <x:f>IFERROR(INDEX(FILTER('Current Cycle Tracker'!$N$2:$N$200,('Current Cycle Tracker'!$B$2:$B$200="Person 2")*('Current Cycle Tracker'!$P$2:$P$200="Yes")),ROWS($A$93:A154)),"")</x:f>
      </x:c>
      <x:c r="L154">
        <x:f>IFERROR(INDEX(FILTER('Current Cycle Tracker'!$Q$2:$Q$200,('Current Cycle Tracker'!$B$2:$B$200="Person 2")*('Current Cycle Tracker'!$P$2:$P$200="Yes")),ROWS($A$93:A154)),"")</x:f>
      </x:c>
    </x:row>
    <x:row r="155">
      <x:c r="A155">
        <x:f>IFERROR(INDEX(FILTER('Current Cycle Tracker'!$C$2:$C$200,('Current Cycle Tracker'!$B$2:$B$200="Person 2")*('Current Cycle Tracker'!$P$2:$P$200="Yes")),ROWS($A$93:A155)),"")</x:f>
      </x:c>
      <x:c r="B155">
        <x:f>IFERROR(INDEX(FILTER('Current Cycle Tracker'!$D$2:$D$200,('Current Cycle Tracker'!$B$2:$B$200="Person 2")*('Current Cycle Tracker'!$P$2:$P$200="Yes")),ROWS($A$93:A155)),"")</x:f>
      </x:c>
      <x:c r="C155">
        <x:f>IFERROR(INDEX(FILTER('Current Cycle Tracker'!$G$2:$G$200,('Current Cycle Tracker'!$B$2:$B$200="Person 2")*('Current Cycle Tracker'!$P$2:$P$200="Yes")),ROWS($A$93:A155)),"")</x:f>
      </x:c>
      <x:c r="D155">
        <x:f>IFERROR(INDEX(FILTER('Current Cycle Tracker'!$H$2:$H$200,('Current Cycle Tracker'!$B$2:$B$200="Person 2")*('Current Cycle Tracker'!$P$2:$P$200="Yes")),ROWS($A$93:A155)),"")</x:f>
      </x:c>
      <x:c r="E155">
        <x:f>IFERROR(INDEX(FILTER('Current Cycle Tracker'!$I$2:$I$200,('Current Cycle Tracker'!$B$2:$B$200="Person 2")*('Current Cycle Tracker'!$P$2:$P$200="Yes")),ROWS($A$93:A155)),"")</x:f>
      </x:c>
      <x:c r="F155">
        <x:f>IFERROR(INDEX(FILTER('Current Cycle Tracker'!$J$2:$J$200,('Current Cycle Tracker'!$B$2:$B$200="Person 2")*('Current Cycle Tracker'!$P$2:$P$200="Yes")),ROWS($A$93:A155)),"")</x:f>
      </x:c>
      <x:c r="G155">
        <x:f>IFERROR(INDEX(FILTER('Current Cycle Tracker'!$K$2:$K$200,('Current Cycle Tracker'!$B$2:$B$200="Person 2")*('Current Cycle Tracker'!$P$2:$P$200="Yes")),ROWS($A$93:A155)),"")</x:f>
      </x:c>
      <x:c r="H155">
        <x:f>IFERROR(INDEX(FILTER('Current Cycle Tracker'!$L$2:$L$200,('Current Cycle Tracker'!$B$2:$B$200="Person 2")*('Current Cycle Tracker'!$P$2:$P$200="Yes")),ROWS($A$93:A155)),"")</x:f>
      </x:c>
      <x:c r="I155">
        <x:f>IF(H155="","",IF(H155&gt;=1,"✅","☐"))</x:f>
      </x:c>
      <x:c r="J155">
        <x:f>IFERROR(INDEX(FILTER('Current Cycle Tracker'!$M$2:$M$200,('Current Cycle Tracker'!$B$2:$B$200="Person 2")*('Current Cycle Tracker'!$P$2:$P$200="Yes")),ROWS($A$93:A155)),"")</x:f>
      </x:c>
      <x:c r="K155">
        <x:f>IFERROR(INDEX(FILTER('Current Cycle Tracker'!$N$2:$N$200,('Current Cycle Tracker'!$B$2:$B$200="Person 2")*('Current Cycle Tracker'!$P$2:$P$200="Yes")),ROWS($A$93:A155)),"")</x:f>
      </x:c>
      <x:c r="L155">
        <x:f>IFERROR(INDEX(FILTER('Current Cycle Tracker'!$Q$2:$Q$200,('Current Cycle Tracker'!$B$2:$B$200="Person 2")*('Current Cycle Tracker'!$P$2:$P$200="Yes")),ROWS($A$93:A155)),"")</x:f>
      </x:c>
    </x:row>
    <x:row r="156">
      <x:c r="A156">
        <x:f>IFERROR(INDEX(FILTER('Current Cycle Tracker'!$C$2:$C$200,('Current Cycle Tracker'!$B$2:$B$200="Person 2")*('Current Cycle Tracker'!$P$2:$P$200="Yes")),ROWS($A$93:A156)),"")</x:f>
      </x:c>
      <x:c r="B156">
        <x:f>IFERROR(INDEX(FILTER('Current Cycle Tracker'!$D$2:$D$200,('Current Cycle Tracker'!$B$2:$B$200="Person 2")*('Current Cycle Tracker'!$P$2:$P$200="Yes")),ROWS($A$93:A156)),"")</x:f>
      </x:c>
      <x:c r="C156">
        <x:f>IFERROR(INDEX(FILTER('Current Cycle Tracker'!$G$2:$G$200,('Current Cycle Tracker'!$B$2:$B$200="Person 2")*('Current Cycle Tracker'!$P$2:$P$200="Yes")),ROWS($A$93:A156)),"")</x:f>
      </x:c>
      <x:c r="D156">
        <x:f>IFERROR(INDEX(FILTER('Current Cycle Tracker'!$H$2:$H$200,('Current Cycle Tracker'!$B$2:$B$200="Person 2")*('Current Cycle Tracker'!$P$2:$P$200="Yes")),ROWS($A$93:A156)),"")</x:f>
      </x:c>
      <x:c r="E156">
        <x:f>IFERROR(INDEX(FILTER('Current Cycle Tracker'!$I$2:$I$200,('Current Cycle Tracker'!$B$2:$B$200="Person 2")*('Current Cycle Tracker'!$P$2:$P$200="Yes")),ROWS($A$93:A156)),"")</x:f>
      </x:c>
      <x:c r="F156">
        <x:f>IFERROR(INDEX(FILTER('Current Cycle Tracker'!$J$2:$J$200,('Current Cycle Tracker'!$B$2:$B$200="Person 2")*('Current Cycle Tracker'!$P$2:$P$200="Yes")),ROWS($A$93:A156)),"")</x:f>
      </x:c>
      <x:c r="G156">
        <x:f>IFERROR(INDEX(FILTER('Current Cycle Tracker'!$K$2:$K$200,('Current Cycle Tracker'!$B$2:$B$200="Person 2")*('Current Cycle Tracker'!$P$2:$P$200="Yes")),ROWS($A$93:A156)),"")</x:f>
      </x:c>
      <x:c r="H156">
        <x:f>IFERROR(INDEX(FILTER('Current Cycle Tracker'!$L$2:$L$200,('Current Cycle Tracker'!$B$2:$B$200="Person 2")*('Current Cycle Tracker'!$P$2:$P$200="Yes")),ROWS($A$93:A156)),"")</x:f>
      </x:c>
      <x:c r="I156">
        <x:f>IF(H156="","",IF(H156&gt;=1,"✅","☐"))</x:f>
      </x:c>
      <x:c r="J156">
        <x:f>IFERROR(INDEX(FILTER('Current Cycle Tracker'!$M$2:$M$200,('Current Cycle Tracker'!$B$2:$B$200="Person 2")*('Current Cycle Tracker'!$P$2:$P$200="Yes")),ROWS($A$93:A156)),"")</x:f>
      </x:c>
      <x:c r="K156">
        <x:f>IFERROR(INDEX(FILTER('Current Cycle Tracker'!$N$2:$N$200,('Current Cycle Tracker'!$B$2:$B$200="Person 2")*('Current Cycle Tracker'!$P$2:$P$200="Yes")),ROWS($A$93:A156)),"")</x:f>
      </x:c>
      <x:c r="L156">
        <x:f>IFERROR(INDEX(FILTER('Current Cycle Tracker'!$Q$2:$Q$200,('Current Cycle Tracker'!$B$2:$B$200="Person 2")*('Current Cycle Tracker'!$P$2:$P$200="Yes")),ROWS($A$93:A156)),"")</x:f>
      </x:c>
    </x:row>
    <x:row r="157">
      <x:c r="A157">
        <x:f>IFERROR(INDEX(FILTER('Current Cycle Tracker'!$C$2:$C$200,('Current Cycle Tracker'!$B$2:$B$200="Person 2")*('Current Cycle Tracker'!$P$2:$P$200="Yes")),ROWS($A$93:A157)),"")</x:f>
      </x:c>
      <x:c r="B157">
        <x:f>IFERROR(INDEX(FILTER('Current Cycle Tracker'!$D$2:$D$200,('Current Cycle Tracker'!$B$2:$B$200="Person 2")*('Current Cycle Tracker'!$P$2:$P$200="Yes")),ROWS($A$93:A157)),"")</x:f>
      </x:c>
      <x:c r="C157">
        <x:f>IFERROR(INDEX(FILTER('Current Cycle Tracker'!$G$2:$G$200,('Current Cycle Tracker'!$B$2:$B$200="Person 2")*('Current Cycle Tracker'!$P$2:$P$200="Yes")),ROWS($A$93:A157)),"")</x:f>
      </x:c>
      <x:c r="D157">
        <x:f>IFERROR(INDEX(FILTER('Current Cycle Tracker'!$H$2:$H$200,('Current Cycle Tracker'!$B$2:$B$200="Person 2")*('Current Cycle Tracker'!$P$2:$P$200="Yes")),ROWS($A$93:A157)),"")</x:f>
      </x:c>
      <x:c r="E157">
        <x:f>IFERROR(INDEX(FILTER('Current Cycle Tracker'!$I$2:$I$200,('Current Cycle Tracker'!$B$2:$B$200="Person 2")*('Current Cycle Tracker'!$P$2:$P$200="Yes")),ROWS($A$93:A157)),"")</x:f>
      </x:c>
      <x:c r="F157">
        <x:f>IFERROR(INDEX(FILTER('Current Cycle Tracker'!$J$2:$J$200,('Current Cycle Tracker'!$B$2:$B$200="Person 2")*('Current Cycle Tracker'!$P$2:$P$200="Yes")),ROWS($A$93:A157)),"")</x:f>
      </x:c>
      <x:c r="G157">
        <x:f>IFERROR(INDEX(FILTER('Current Cycle Tracker'!$K$2:$K$200,('Current Cycle Tracker'!$B$2:$B$200="Person 2")*('Current Cycle Tracker'!$P$2:$P$200="Yes")),ROWS($A$93:A157)),"")</x:f>
      </x:c>
      <x:c r="H157">
        <x:f>IFERROR(INDEX(FILTER('Current Cycle Tracker'!$L$2:$L$200,('Current Cycle Tracker'!$B$2:$B$200="Person 2")*('Current Cycle Tracker'!$P$2:$P$200="Yes")),ROWS($A$93:A157)),"")</x:f>
      </x:c>
      <x:c r="I157">
        <x:f>IF(H157="","",IF(H157&gt;=1,"✅","☐"))</x:f>
      </x:c>
      <x:c r="J157">
        <x:f>IFERROR(INDEX(FILTER('Current Cycle Tracker'!$M$2:$M$200,('Current Cycle Tracker'!$B$2:$B$200="Person 2")*('Current Cycle Tracker'!$P$2:$P$200="Yes")),ROWS($A$93:A157)),"")</x:f>
      </x:c>
      <x:c r="K157">
        <x:f>IFERROR(INDEX(FILTER('Current Cycle Tracker'!$N$2:$N$200,('Current Cycle Tracker'!$B$2:$B$200="Person 2")*('Current Cycle Tracker'!$P$2:$P$200="Yes")),ROWS($A$93:A157)),"")</x:f>
      </x:c>
      <x:c r="L157">
        <x:f>IFERROR(INDEX(FILTER('Current Cycle Tracker'!$Q$2:$Q$200,('Current Cycle Tracker'!$B$2:$B$200="Person 2")*('Current Cycle Tracker'!$P$2:$P$200="Yes")),ROWS($A$93:A157)),"")</x:f>
      </x:c>
    </x:row>
    <x:row r="158">
      <x:c r="A158">
        <x:f>IFERROR(INDEX(FILTER('Current Cycle Tracker'!$C$2:$C$200,('Current Cycle Tracker'!$B$2:$B$200="Person 2")*('Current Cycle Tracker'!$P$2:$P$200="Yes")),ROWS($A$93:A158)),"")</x:f>
      </x:c>
      <x:c r="B158">
        <x:f>IFERROR(INDEX(FILTER('Current Cycle Tracker'!$D$2:$D$200,('Current Cycle Tracker'!$B$2:$B$200="Person 2")*('Current Cycle Tracker'!$P$2:$P$200="Yes")),ROWS($A$93:A158)),"")</x:f>
      </x:c>
      <x:c r="C158">
        <x:f>IFERROR(INDEX(FILTER('Current Cycle Tracker'!$G$2:$G$200,('Current Cycle Tracker'!$B$2:$B$200="Person 2")*('Current Cycle Tracker'!$P$2:$P$200="Yes")),ROWS($A$93:A158)),"")</x:f>
      </x:c>
      <x:c r="D158">
        <x:f>IFERROR(INDEX(FILTER('Current Cycle Tracker'!$H$2:$H$200,('Current Cycle Tracker'!$B$2:$B$200="Person 2")*('Current Cycle Tracker'!$P$2:$P$200="Yes")),ROWS($A$93:A158)),"")</x:f>
      </x:c>
      <x:c r="E158">
        <x:f>IFERROR(INDEX(FILTER('Current Cycle Tracker'!$I$2:$I$200,('Current Cycle Tracker'!$B$2:$B$200="Person 2")*('Current Cycle Tracker'!$P$2:$P$200="Yes")),ROWS($A$93:A158)),"")</x:f>
      </x:c>
      <x:c r="F158">
        <x:f>IFERROR(INDEX(FILTER('Current Cycle Tracker'!$J$2:$J$200,('Current Cycle Tracker'!$B$2:$B$200="Person 2")*('Current Cycle Tracker'!$P$2:$P$200="Yes")),ROWS($A$93:A158)),"")</x:f>
      </x:c>
      <x:c r="G158">
        <x:f>IFERROR(INDEX(FILTER('Current Cycle Tracker'!$K$2:$K$200,('Current Cycle Tracker'!$B$2:$B$200="Person 2")*('Current Cycle Tracker'!$P$2:$P$200="Yes")),ROWS($A$93:A158)),"")</x:f>
      </x:c>
      <x:c r="H158">
        <x:f>IFERROR(INDEX(FILTER('Current Cycle Tracker'!$L$2:$L$200,('Current Cycle Tracker'!$B$2:$B$200="Person 2")*('Current Cycle Tracker'!$P$2:$P$200="Yes")),ROWS($A$93:A158)),"")</x:f>
      </x:c>
      <x:c r="I158">
        <x:f>IF(H158="","",IF(H158&gt;=1,"✅","☐"))</x:f>
      </x:c>
      <x:c r="J158">
        <x:f>IFERROR(INDEX(FILTER('Current Cycle Tracker'!$M$2:$M$200,('Current Cycle Tracker'!$B$2:$B$200="Person 2")*('Current Cycle Tracker'!$P$2:$P$200="Yes")),ROWS($A$93:A158)),"")</x:f>
      </x:c>
      <x:c r="K158">
        <x:f>IFERROR(INDEX(FILTER('Current Cycle Tracker'!$N$2:$N$200,('Current Cycle Tracker'!$B$2:$B$200="Person 2")*('Current Cycle Tracker'!$P$2:$P$200="Yes")),ROWS($A$93:A158)),"")</x:f>
      </x:c>
      <x:c r="L158">
        <x:f>IFERROR(INDEX(FILTER('Current Cycle Tracker'!$Q$2:$Q$200,('Current Cycle Tracker'!$B$2:$B$200="Person 2")*('Current Cycle Tracker'!$P$2:$P$200="Yes")),ROWS($A$93:A158)),"")</x:f>
      </x:c>
    </x:row>
    <x:row r="159">
      <x:c r="A159">
        <x:f>IFERROR(INDEX(FILTER('Current Cycle Tracker'!$C$2:$C$200,('Current Cycle Tracker'!$B$2:$B$200="Person 2")*('Current Cycle Tracker'!$P$2:$P$200="Yes")),ROWS($A$93:A159)),"")</x:f>
      </x:c>
      <x:c r="B159">
        <x:f>IFERROR(INDEX(FILTER('Current Cycle Tracker'!$D$2:$D$200,('Current Cycle Tracker'!$B$2:$B$200="Person 2")*('Current Cycle Tracker'!$P$2:$P$200="Yes")),ROWS($A$93:A159)),"")</x:f>
      </x:c>
      <x:c r="C159">
        <x:f>IFERROR(INDEX(FILTER('Current Cycle Tracker'!$G$2:$G$200,('Current Cycle Tracker'!$B$2:$B$200="Person 2")*('Current Cycle Tracker'!$P$2:$P$200="Yes")),ROWS($A$93:A159)),"")</x:f>
      </x:c>
      <x:c r="D159">
        <x:f>IFERROR(INDEX(FILTER('Current Cycle Tracker'!$H$2:$H$200,('Current Cycle Tracker'!$B$2:$B$200="Person 2")*('Current Cycle Tracker'!$P$2:$P$200="Yes")),ROWS($A$93:A159)),"")</x:f>
      </x:c>
      <x:c r="E159">
        <x:f>IFERROR(INDEX(FILTER('Current Cycle Tracker'!$I$2:$I$200,('Current Cycle Tracker'!$B$2:$B$200="Person 2")*('Current Cycle Tracker'!$P$2:$P$200="Yes")),ROWS($A$93:A159)),"")</x:f>
      </x:c>
      <x:c r="F159">
        <x:f>IFERROR(INDEX(FILTER('Current Cycle Tracker'!$J$2:$J$200,('Current Cycle Tracker'!$B$2:$B$200="Person 2")*('Current Cycle Tracker'!$P$2:$P$200="Yes")),ROWS($A$93:A159)),"")</x:f>
      </x:c>
      <x:c r="G159">
        <x:f>IFERROR(INDEX(FILTER('Current Cycle Tracker'!$K$2:$K$200,('Current Cycle Tracker'!$B$2:$B$200="Person 2")*('Current Cycle Tracker'!$P$2:$P$200="Yes")),ROWS($A$93:A159)),"")</x:f>
      </x:c>
      <x:c r="H159">
        <x:f>IFERROR(INDEX(FILTER('Current Cycle Tracker'!$L$2:$L$200,('Current Cycle Tracker'!$B$2:$B$200="Person 2")*('Current Cycle Tracker'!$P$2:$P$200="Yes")),ROWS($A$93:A159)),"")</x:f>
      </x:c>
      <x:c r="I159">
        <x:f>IF(H159="","",IF(H159&gt;=1,"✅","☐"))</x:f>
      </x:c>
      <x:c r="J159">
        <x:f>IFERROR(INDEX(FILTER('Current Cycle Tracker'!$M$2:$M$200,('Current Cycle Tracker'!$B$2:$B$200="Person 2")*('Current Cycle Tracker'!$P$2:$P$200="Yes")),ROWS($A$93:A159)),"")</x:f>
      </x:c>
      <x:c r="K159">
        <x:f>IFERROR(INDEX(FILTER('Current Cycle Tracker'!$N$2:$N$200,('Current Cycle Tracker'!$B$2:$B$200="Person 2")*('Current Cycle Tracker'!$P$2:$P$200="Yes")),ROWS($A$93:A159)),"")</x:f>
      </x:c>
      <x:c r="L159">
        <x:f>IFERROR(INDEX(FILTER('Current Cycle Tracker'!$Q$2:$Q$200,('Current Cycle Tracker'!$B$2:$B$200="Person 2")*('Current Cycle Tracker'!$P$2:$P$200="Yes")),ROWS($A$93:A159)),"")</x:f>
      </x:c>
    </x:row>
    <x:row r="160">
      <x:c r="A160">
        <x:f>IFERROR(INDEX(FILTER('Current Cycle Tracker'!$C$2:$C$200,('Current Cycle Tracker'!$B$2:$B$200="Person 2")*('Current Cycle Tracker'!$P$2:$P$200="Yes")),ROWS($A$93:A160)),"")</x:f>
      </x:c>
      <x:c r="B160">
        <x:f>IFERROR(INDEX(FILTER('Current Cycle Tracker'!$D$2:$D$200,('Current Cycle Tracker'!$B$2:$B$200="Person 2")*('Current Cycle Tracker'!$P$2:$P$200="Yes")),ROWS($A$93:A160)),"")</x:f>
      </x:c>
      <x:c r="C160">
        <x:f>IFERROR(INDEX(FILTER('Current Cycle Tracker'!$G$2:$G$200,('Current Cycle Tracker'!$B$2:$B$200="Person 2")*('Current Cycle Tracker'!$P$2:$P$200="Yes")),ROWS($A$93:A160)),"")</x:f>
      </x:c>
      <x:c r="D160">
        <x:f>IFERROR(INDEX(FILTER('Current Cycle Tracker'!$H$2:$H$200,('Current Cycle Tracker'!$B$2:$B$200="Person 2")*('Current Cycle Tracker'!$P$2:$P$200="Yes")),ROWS($A$93:A160)),"")</x:f>
      </x:c>
      <x:c r="E160">
        <x:f>IFERROR(INDEX(FILTER('Current Cycle Tracker'!$I$2:$I$200,('Current Cycle Tracker'!$B$2:$B$200="Person 2")*('Current Cycle Tracker'!$P$2:$P$200="Yes")),ROWS($A$93:A160)),"")</x:f>
      </x:c>
      <x:c r="F160">
        <x:f>IFERROR(INDEX(FILTER('Current Cycle Tracker'!$J$2:$J$200,('Current Cycle Tracker'!$B$2:$B$200="Person 2")*('Current Cycle Tracker'!$P$2:$P$200="Yes")),ROWS($A$93:A160)),"")</x:f>
      </x:c>
      <x:c r="G160">
        <x:f>IFERROR(INDEX(FILTER('Current Cycle Tracker'!$K$2:$K$200,('Current Cycle Tracker'!$B$2:$B$200="Person 2")*('Current Cycle Tracker'!$P$2:$P$200="Yes")),ROWS($A$93:A160)),"")</x:f>
      </x:c>
      <x:c r="H160">
        <x:f>IFERROR(INDEX(FILTER('Current Cycle Tracker'!$L$2:$L$200,('Current Cycle Tracker'!$B$2:$B$200="Person 2")*('Current Cycle Tracker'!$P$2:$P$200="Yes")),ROWS($A$93:A160)),"")</x:f>
      </x:c>
      <x:c r="I160">
        <x:f>IF(H160="","",IF(H160&gt;=1,"✅","☐"))</x:f>
      </x:c>
      <x:c r="J160">
        <x:f>IFERROR(INDEX(FILTER('Current Cycle Tracker'!$M$2:$M$200,('Current Cycle Tracker'!$B$2:$B$200="Person 2")*('Current Cycle Tracker'!$P$2:$P$200="Yes")),ROWS($A$93:A160)),"")</x:f>
      </x:c>
      <x:c r="K160">
        <x:f>IFERROR(INDEX(FILTER('Current Cycle Tracker'!$N$2:$N$200,('Current Cycle Tracker'!$B$2:$B$200="Person 2")*('Current Cycle Tracker'!$P$2:$P$200="Yes")),ROWS($A$93:A160)),"")</x:f>
      </x:c>
      <x:c r="L160">
        <x:f>IFERROR(INDEX(FILTER('Current Cycle Tracker'!$Q$2:$Q$200,('Current Cycle Tracker'!$B$2:$B$200="Person 2")*('Current Cycle Tracker'!$P$2:$P$200="Yes")),ROWS($A$93:A160)),"")</x:f>
      </x:c>
    </x:row>
    <x:row r="161">
      <x:c r="A161">
        <x:f>IFERROR(INDEX(FILTER('Current Cycle Tracker'!$C$2:$C$200,('Current Cycle Tracker'!$B$2:$B$200="Person 2")*('Current Cycle Tracker'!$P$2:$P$200="Yes")),ROWS($A$93:A161)),"")</x:f>
      </x:c>
      <x:c r="B161">
        <x:f>IFERROR(INDEX(FILTER('Current Cycle Tracker'!$D$2:$D$200,('Current Cycle Tracker'!$B$2:$B$200="Person 2")*('Current Cycle Tracker'!$P$2:$P$200="Yes")),ROWS($A$93:A161)),"")</x:f>
      </x:c>
      <x:c r="C161">
        <x:f>IFERROR(INDEX(FILTER('Current Cycle Tracker'!$G$2:$G$200,('Current Cycle Tracker'!$B$2:$B$200="Person 2")*('Current Cycle Tracker'!$P$2:$P$200="Yes")),ROWS($A$93:A161)),"")</x:f>
      </x:c>
      <x:c r="D161">
        <x:f>IFERROR(INDEX(FILTER('Current Cycle Tracker'!$H$2:$H$200,('Current Cycle Tracker'!$B$2:$B$200="Person 2")*('Current Cycle Tracker'!$P$2:$P$200="Yes")),ROWS($A$93:A161)),"")</x:f>
      </x:c>
      <x:c r="E161">
        <x:f>IFERROR(INDEX(FILTER('Current Cycle Tracker'!$I$2:$I$200,('Current Cycle Tracker'!$B$2:$B$200="Person 2")*('Current Cycle Tracker'!$P$2:$P$200="Yes")),ROWS($A$93:A161)),"")</x:f>
      </x:c>
      <x:c r="F161">
        <x:f>IFERROR(INDEX(FILTER('Current Cycle Tracker'!$J$2:$J$200,('Current Cycle Tracker'!$B$2:$B$200="Person 2")*('Current Cycle Tracker'!$P$2:$P$200="Yes")),ROWS($A$93:A161)),"")</x:f>
      </x:c>
      <x:c r="G161">
        <x:f>IFERROR(INDEX(FILTER('Current Cycle Tracker'!$K$2:$K$200,('Current Cycle Tracker'!$B$2:$B$200="Person 2")*('Current Cycle Tracker'!$P$2:$P$200="Yes")),ROWS($A$93:A161)),"")</x:f>
      </x:c>
      <x:c r="H161">
        <x:f>IFERROR(INDEX(FILTER('Current Cycle Tracker'!$L$2:$L$200,('Current Cycle Tracker'!$B$2:$B$200="Person 2")*('Current Cycle Tracker'!$P$2:$P$200="Yes")),ROWS($A$93:A161)),"")</x:f>
      </x:c>
      <x:c r="I161">
        <x:f>IF(H161="","",IF(H161&gt;=1,"✅","☐"))</x:f>
      </x:c>
      <x:c r="J161">
        <x:f>IFERROR(INDEX(FILTER('Current Cycle Tracker'!$M$2:$M$200,('Current Cycle Tracker'!$B$2:$B$200="Person 2")*('Current Cycle Tracker'!$P$2:$P$200="Yes")),ROWS($A$93:A161)),"")</x:f>
      </x:c>
      <x:c r="K161">
        <x:f>IFERROR(INDEX(FILTER('Current Cycle Tracker'!$N$2:$N$200,('Current Cycle Tracker'!$B$2:$B$200="Person 2")*('Current Cycle Tracker'!$P$2:$P$200="Yes")),ROWS($A$93:A161)),"")</x:f>
      </x:c>
      <x:c r="L161">
        <x:f>IFERROR(INDEX(FILTER('Current Cycle Tracker'!$Q$2:$Q$200,('Current Cycle Tracker'!$B$2:$B$200="Person 2")*('Current Cycle Tracker'!$P$2:$P$200="Yes")),ROWS($A$93:A161)),"")</x:f>
      </x:c>
    </x:row>
    <x:row r="162">
      <x:c r="A162">
        <x:f>IFERROR(INDEX(FILTER('Current Cycle Tracker'!$C$2:$C$200,('Current Cycle Tracker'!$B$2:$B$200="Person 2")*('Current Cycle Tracker'!$P$2:$P$200="Yes")),ROWS($A$93:A162)),"")</x:f>
      </x:c>
      <x:c r="B162">
        <x:f>IFERROR(INDEX(FILTER('Current Cycle Tracker'!$D$2:$D$200,('Current Cycle Tracker'!$B$2:$B$200="Person 2")*('Current Cycle Tracker'!$P$2:$P$200="Yes")),ROWS($A$93:A162)),"")</x:f>
      </x:c>
      <x:c r="C162">
        <x:f>IFERROR(INDEX(FILTER('Current Cycle Tracker'!$G$2:$G$200,('Current Cycle Tracker'!$B$2:$B$200="Person 2")*('Current Cycle Tracker'!$P$2:$P$200="Yes")),ROWS($A$93:A162)),"")</x:f>
      </x:c>
      <x:c r="D162">
        <x:f>IFERROR(INDEX(FILTER('Current Cycle Tracker'!$H$2:$H$200,('Current Cycle Tracker'!$B$2:$B$200="Person 2")*('Current Cycle Tracker'!$P$2:$P$200="Yes")),ROWS($A$93:A162)),"")</x:f>
      </x:c>
      <x:c r="E162">
        <x:f>IFERROR(INDEX(FILTER('Current Cycle Tracker'!$I$2:$I$200,('Current Cycle Tracker'!$B$2:$B$200="Person 2")*('Current Cycle Tracker'!$P$2:$P$200="Yes")),ROWS($A$93:A162)),"")</x:f>
      </x:c>
      <x:c r="F162">
        <x:f>IFERROR(INDEX(FILTER('Current Cycle Tracker'!$J$2:$J$200,('Current Cycle Tracker'!$B$2:$B$200="Person 2")*('Current Cycle Tracker'!$P$2:$P$200="Yes")),ROWS($A$93:A162)),"")</x:f>
      </x:c>
      <x:c r="G162">
        <x:f>IFERROR(INDEX(FILTER('Current Cycle Tracker'!$K$2:$K$200,('Current Cycle Tracker'!$B$2:$B$200="Person 2")*('Current Cycle Tracker'!$P$2:$P$200="Yes")),ROWS($A$93:A162)),"")</x:f>
      </x:c>
      <x:c r="H162">
        <x:f>IFERROR(INDEX(FILTER('Current Cycle Tracker'!$L$2:$L$200,('Current Cycle Tracker'!$B$2:$B$200="Person 2")*('Current Cycle Tracker'!$P$2:$P$200="Yes")),ROWS($A$93:A162)),"")</x:f>
      </x:c>
      <x:c r="I162">
        <x:f>IF(H162="","",IF(H162&gt;=1,"✅","☐"))</x:f>
      </x:c>
      <x:c r="J162">
        <x:f>IFERROR(INDEX(FILTER('Current Cycle Tracker'!$M$2:$M$200,('Current Cycle Tracker'!$B$2:$B$200="Person 2")*('Current Cycle Tracker'!$P$2:$P$200="Yes")),ROWS($A$93:A162)),"")</x:f>
      </x:c>
      <x:c r="K162">
        <x:f>IFERROR(INDEX(FILTER('Current Cycle Tracker'!$N$2:$N$200,('Current Cycle Tracker'!$B$2:$B$200="Person 2")*('Current Cycle Tracker'!$P$2:$P$200="Yes")),ROWS($A$93:A162)),"")</x:f>
      </x:c>
      <x:c r="L162">
        <x:f>IFERROR(INDEX(FILTER('Current Cycle Tracker'!$Q$2:$Q$200,('Current Cycle Tracker'!$B$2:$B$200="Person 2")*('Current Cycle Tracker'!$P$2:$P$200="Yes")),ROWS($A$93:A162)),"")</x:f>
      </x:c>
    </x:row>
    <x:row r="163">
      <x:c r="A163">
        <x:f>IFERROR(INDEX(FILTER('Current Cycle Tracker'!$C$2:$C$200,('Current Cycle Tracker'!$B$2:$B$200="Person 2")*('Current Cycle Tracker'!$P$2:$P$200="Yes")),ROWS($A$93:A163)),"")</x:f>
      </x:c>
      <x:c r="B163">
        <x:f>IFERROR(INDEX(FILTER('Current Cycle Tracker'!$D$2:$D$200,('Current Cycle Tracker'!$B$2:$B$200="Person 2")*('Current Cycle Tracker'!$P$2:$P$200="Yes")),ROWS($A$93:A163)),"")</x:f>
      </x:c>
      <x:c r="C163">
        <x:f>IFERROR(INDEX(FILTER('Current Cycle Tracker'!$G$2:$G$200,('Current Cycle Tracker'!$B$2:$B$200="Person 2")*('Current Cycle Tracker'!$P$2:$P$200="Yes")),ROWS($A$93:A163)),"")</x:f>
      </x:c>
      <x:c r="D163">
        <x:f>IFERROR(INDEX(FILTER('Current Cycle Tracker'!$H$2:$H$200,('Current Cycle Tracker'!$B$2:$B$200="Person 2")*('Current Cycle Tracker'!$P$2:$P$200="Yes")),ROWS($A$93:A163)),"")</x:f>
      </x:c>
      <x:c r="E163">
        <x:f>IFERROR(INDEX(FILTER('Current Cycle Tracker'!$I$2:$I$200,('Current Cycle Tracker'!$B$2:$B$200="Person 2")*('Current Cycle Tracker'!$P$2:$P$200="Yes")),ROWS($A$93:A163)),"")</x:f>
      </x:c>
      <x:c r="F163">
        <x:f>IFERROR(INDEX(FILTER('Current Cycle Tracker'!$J$2:$J$200,('Current Cycle Tracker'!$B$2:$B$200="Person 2")*('Current Cycle Tracker'!$P$2:$P$200="Yes")),ROWS($A$93:A163)),"")</x:f>
      </x:c>
      <x:c r="G163">
        <x:f>IFERROR(INDEX(FILTER('Current Cycle Tracker'!$K$2:$K$200,('Current Cycle Tracker'!$B$2:$B$200="Person 2")*('Current Cycle Tracker'!$P$2:$P$200="Yes")),ROWS($A$93:A163)),"")</x:f>
      </x:c>
      <x:c r="H163">
        <x:f>IFERROR(INDEX(FILTER('Current Cycle Tracker'!$L$2:$L$200,('Current Cycle Tracker'!$B$2:$B$200="Person 2")*('Current Cycle Tracker'!$P$2:$P$200="Yes")),ROWS($A$93:A163)),"")</x:f>
      </x:c>
      <x:c r="I163">
        <x:f>IF(H163="","",IF(H163&gt;=1,"✅","☐"))</x:f>
      </x:c>
      <x:c r="J163">
        <x:f>IFERROR(INDEX(FILTER('Current Cycle Tracker'!$M$2:$M$200,('Current Cycle Tracker'!$B$2:$B$200="Person 2")*('Current Cycle Tracker'!$P$2:$P$200="Yes")),ROWS($A$93:A163)),"")</x:f>
      </x:c>
      <x:c r="K163">
        <x:f>IFERROR(INDEX(FILTER('Current Cycle Tracker'!$N$2:$N$200,('Current Cycle Tracker'!$B$2:$B$200="Person 2")*('Current Cycle Tracker'!$P$2:$P$200="Yes")),ROWS($A$93:A163)),"")</x:f>
      </x:c>
      <x:c r="L163">
        <x:f>IFERROR(INDEX(FILTER('Current Cycle Tracker'!$Q$2:$Q$200,('Current Cycle Tracker'!$B$2:$B$200="Person 2")*('Current Cycle Tracker'!$P$2:$P$200="Yes")),ROWS($A$93:A163)),"")</x:f>
      </x:c>
    </x:row>
    <x:row r="164">
      <x:c r="A164">
        <x:f>IFERROR(INDEX(FILTER('Current Cycle Tracker'!$C$2:$C$200,('Current Cycle Tracker'!$B$2:$B$200="Person 2")*('Current Cycle Tracker'!$P$2:$P$200="Yes")),ROWS($A$93:A164)),"")</x:f>
      </x:c>
      <x:c r="B164">
        <x:f>IFERROR(INDEX(FILTER('Current Cycle Tracker'!$D$2:$D$200,('Current Cycle Tracker'!$B$2:$B$200="Person 2")*('Current Cycle Tracker'!$P$2:$P$200="Yes")),ROWS($A$93:A164)),"")</x:f>
      </x:c>
      <x:c r="C164">
        <x:f>IFERROR(INDEX(FILTER('Current Cycle Tracker'!$G$2:$G$200,('Current Cycle Tracker'!$B$2:$B$200="Person 2")*('Current Cycle Tracker'!$P$2:$P$200="Yes")),ROWS($A$93:A164)),"")</x:f>
      </x:c>
      <x:c r="D164">
        <x:f>IFERROR(INDEX(FILTER('Current Cycle Tracker'!$H$2:$H$200,('Current Cycle Tracker'!$B$2:$B$200="Person 2")*('Current Cycle Tracker'!$P$2:$P$200="Yes")),ROWS($A$93:A164)),"")</x:f>
      </x:c>
      <x:c r="E164">
        <x:f>IFERROR(INDEX(FILTER('Current Cycle Tracker'!$I$2:$I$200,('Current Cycle Tracker'!$B$2:$B$200="Person 2")*('Current Cycle Tracker'!$P$2:$P$200="Yes")),ROWS($A$93:A164)),"")</x:f>
      </x:c>
      <x:c r="F164">
        <x:f>IFERROR(INDEX(FILTER('Current Cycle Tracker'!$J$2:$J$200,('Current Cycle Tracker'!$B$2:$B$200="Person 2")*('Current Cycle Tracker'!$P$2:$P$200="Yes")),ROWS($A$93:A164)),"")</x:f>
      </x:c>
      <x:c r="G164">
        <x:f>IFERROR(INDEX(FILTER('Current Cycle Tracker'!$K$2:$K$200,('Current Cycle Tracker'!$B$2:$B$200="Person 2")*('Current Cycle Tracker'!$P$2:$P$200="Yes")),ROWS($A$93:A164)),"")</x:f>
      </x:c>
      <x:c r="H164">
        <x:f>IFERROR(INDEX(FILTER('Current Cycle Tracker'!$L$2:$L$200,('Current Cycle Tracker'!$B$2:$B$200="Person 2")*('Current Cycle Tracker'!$P$2:$P$200="Yes")),ROWS($A$93:A164)),"")</x:f>
      </x:c>
      <x:c r="I164">
        <x:f>IF(H164="","",IF(H164&gt;=1,"✅","☐"))</x:f>
      </x:c>
      <x:c r="J164">
        <x:f>IFERROR(INDEX(FILTER('Current Cycle Tracker'!$M$2:$M$200,('Current Cycle Tracker'!$B$2:$B$200="Person 2")*('Current Cycle Tracker'!$P$2:$P$200="Yes")),ROWS($A$93:A164)),"")</x:f>
      </x:c>
      <x:c r="K164">
        <x:f>IFERROR(INDEX(FILTER('Current Cycle Tracker'!$N$2:$N$200,('Current Cycle Tracker'!$B$2:$B$200="Person 2")*('Current Cycle Tracker'!$P$2:$P$200="Yes")),ROWS($A$93:A164)),"")</x:f>
      </x:c>
      <x:c r="L164">
        <x:f>IFERROR(INDEX(FILTER('Current Cycle Tracker'!$Q$2:$Q$200,('Current Cycle Tracker'!$B$2:$B$200="Person 2")*('Current Cycle Tracker'!$P$2:$P$200="Yes")),ROWS($A$93:A164)),"")</x:f>
      </x:c>
    </x:row>
    <x:row r="165">
      <x:c r="A165">
        <x:f>IFERROR(INDEX(FILTER('Current Cycle Tracker'!$C$2:$C$200,('Current Cycle Tracker'!$B$2:$B$200="Person 2")*('Current Cycle Tracker'!$P$2:$P$200="Yes")),ROWS($A$93:A165)),"")</x:f>
      </x:c>
      <x:c r="B165">
        <x:f>IFERROR(INDEX(FILTER('Current Cycle Tracker'!$D$2:$D$200,('Current Cycle Tracker'!$B$2:$B$200="Person 2")*('Current Cycle Tracker'!$P$2:$P$200="Yes")),ROWS($A$93:A165)),"")</x:f>
      </x:c>
      <x:c r="C165">
        <x:f>IFERROR(INDEX(FILTER('Current Cycle Tracker'!$G$2:$G$200,('Current Cycle Tracker'!$B$2:$B$200="Person 2")*('Current Cycle Tracker'!$P$2:$P$200="Yes")),ROWS($A$93:A165)),"")</x:f>
      </x:c>
      <x:c r="D165">
        <x:f>IFERROR(INDEX(FILTER('Current Cycle Tracker'!$H$2:$H$200,('Current Cycle Tracker'!$B$2:$B$200="Person 2")*('Current Cycle Tracker'!$P$2:$P$200="Yes")),ROWS($A$93:A165)),"")</x:f>
      </x:c>
      <x:c r="E165">
        <x:f>IFERROR(INDEX(FILTER('Current Cycle Tracker'!$I$2:$I$200,('Current Cycle Tracker'!$B$2:$B$200="Person 2")*('Current Cycle Tracker'!$P$2:$P$200="Yes")),ROWS($A$93:A165)),"")</x:f>
      </x:c>
      <x:c r="F165">
        <x:f>IFERROR(INDEX(FILTER('Current Cycle Tracker'!$J$2:$J$200,('Current Cycle Tracker'!$B$2:$B$200="Person 2")*('Current Cycle Tracker'!$P$2:$P$200="Yes")),ROWS($A$93:A165)),"")</x:f>
      </x:c>
      <x:c r="G165">
        <x:f>IFERROR(INDEX(FILTER('Current Cycle Tracker'!$K$2:$K$200,('Current Cycle Tracker'!$B$2:$B$200="Person 2")*('Current Cycle Tracker'!$P$2:$P$200="Yes")),ROWS($A$93:A165)),"")</x:f>
      </x:c>
      <x:c r="H165">
        <x:f>IFERROR(INDEX(FILTER('Current Cycle Tracker'!$L$2:$L$200,('Current Cycle Tracker'!$B$2:$B$200="Person 2")*('Current Cycle Tracker'!$P$2:$P$200="Yes")),ROWS($A$93:A165)),"")</x:f>
      </x:c>
      <x:c r="I165">
        <x:f>IF(H165="","",IF(H165&gt;=1,"✅","☐"))</x:f>
      </x:c>
      <x:c r="J165">
        <x:f>IFERROR(INDEX(FILTER('Current Cycle Tracker'!$M$2:$M$200,('Current Cycle Tracker'!$B$2:$B$200="Person 2")*('Current Cycle Tracker'!$P$2:$P$200="Yes")),ROWS($A$93:A165)),"")</x:f>
      </x:c>
      <x:c r="K165">
        <x:f>IFERROR(INDEX(FILTER('Current Cycle Tracker'!$N$2:$N$200,('Current Cycle Tracker'!$B$2:$B$200="Person 2")*('Current Cycle Tracker'!$P$2:$P$200="Yes")),ROWS($A$93:A165)),"")</x:f>
      </x:c>
      <x:c r="L165">
        <x:f>IFERROR(INDEX(FILTER('Current Cycle Tracker'!$Q$2:$Q$200,('Current Cycle Tracker'!$B$2:$B$200="Person 2")*('Current Cycle Tracker'!$P$2:$P$200="Yes")),ROWS($A$93:A165)),"")</x:f>
      </x:c>
    </x:row>
    <x:row r="166">
      <x:c r="A166">
        <x:f>IFERROR(INDEX(FILTER('Current Cycle Tracker'!$C$2:$C$200,('Current Cycle Tracker'!$B$2:$B$200="Person 2")*('Current Cycle Tracker'!$P$2:$P$200="Yes")),ROWS($A$93:A166)),"")</x:f>
      </x:c>
      <x:c r="B166">
        <x:f>IFERROR(INDEX(FILTER('Current Cycle Tracker'!$D$2:$D$200,('Current Cycle Tracker'!$B$2:$B$200="Person 2")*('Current Cycle Tracker'!$P$2:$P$200="Yes")),ROWS($A$93:A166)),"")</x:f>
      </x:c>
      <x:c r="C166">
        <x:f>IFERROR(INDEX(FILTER('Current Cycle Tracker'!$G$2:$G$200,('Current Cycle Tracker'!$B$2:$B$200="Person 2")*('Current Cycle Tracker'!$P$2:$P$200="Yes")),ROWS($A$93:A166)),"")</x:f>
      </x:c>
      <x:c r="D166">
        <x:f>IFERROR(INDEX(FILTER('Current Cycle Tracker'!$H$2:$H$200,('Current Cycle Tracker'!$B$2:$B$200="Person 2")*('Current Cycle Tracker'!$P$2:$P$200="Yes")),ROWS($A$93:A166)),"")</x:f>
      </x:c>
      <x:c r="E166">
        <x:f>IFERROR(INDEX(FILTER('Current Cycle Tracker'!$I$2:$I$200,('Current Cycle Tracker'!$B$2:$B$200="Person 2")*('Current Cycle Tracker'!$P$2:$P$200="Yes")),ROWS($A$93:A166)),"")</x:f>
      </x:c>
      <x:c r="F166">
        <x:f>IFERROR(INDEX(FILTER('Current Cycle Tracker'!$J$2:$J$200,('Current Cycle Tracker'!$B$2:$B$200="Person 2")*('Current Cycle Tracker'!$P$2:$P$200="Yes")),ROWS($A$93:A166)),"")</x:f>
      </x:c>
      <x:c r="G166">
        <x:f>IFERROR(INDEX(FILTER('Current Cycle Tracker'!$K$2:$K$200,('Current Cycle Tracker'!$B$2:$B$200="Person 2")*('Current Cycle Tracker'!$P$2:$P$200="Yes")),ROWS($A$93:A166)),"")</x:f>
      </x:c>
      <x:c r="H166">
        <x:f>IFERROR(INDEX(FILTER('Current Cycle Tracker'!$L$2:$L$200,('Current Cycle Tracker'!$B$2:$B$200="Person 2")*('Current Cycle Tracker'!$P$2:$P$200="Yes")),ROWS($A$93:A166)),"")</x:f>
      </x:c>
      <x:c r="I166">
        <x:f>IF(H166="","",IF(H166&gt;=1,"✅","☐"))</x:f>
      </x:c>
      <x:c r="J166">
        <x:f>IFERROR(INDEX(FILTER('Current Cycle Tracker'!$M$2:$M$200,('Current Cycle Tracker'!$B$2:$B$200="Person 2")*('Current Cycle Tracker'!$P$2:$P$200="Yes")),ROWS($A$93:A166)),"")</x:f>
      </x:c>
      <x:c r="K166">
        <x:f>IFERROR(INDEX(FILTER('Current Cycle Tracker'!$N$2:$N$200,('Current Cycle Tracker'!$B$2:$B$200="Person 2")*('Current Cycle Tracker'!$P$2:$P$200="Yes")),ROWS($A$93:A166)),"")</x:f>
      </x:c>
      <x:c r="L166">
        <x:f>IFERROR(INDEX(FILTER('Current Cycle Tracker'!$Q$2:$Q$200,('Current Cycle Tracker'!$B$2:$B$200="Person 2")*('Current Cycle Tracker'!$P$2:$P$200="Yes")),ROWS($A$93:A166)),"")</x:f>
      </x:c>
    </x:row>
    <x:row r="167">
      <x:c r="A167">
        <x:f>IFERROR(INDEX(FILTER('Current Cycle Tracker'!$C$2:$C$200,('Current Cycle Tracker'!$B$2:$B$200="Person 2")*('Current Cycle Tracker'!$P$2:$P$200="Yes")),ROWS($A$93:A167)),"")</x:f>
      </x:c>
      <x:c r="B167">
        <x:f>IFERROR(INDEX(FILTER('Current Cycle Tracker'!$D$2:$D$200,('Current Cycle Tracker'!$B$2:$B$200="Person 2")*('Current Cycle Tracker'!$P$2:$P$200="Yes")),ROWS($A$93:A167)),"")</x:f>
      </x:c>
      <x:c r="C167">
        <x:f>IFERROR(INDEX(FILTER('Current Cycle Tracker'!$G$2:$G$200,('Current Cycle Tracker'!$B$2:$B$200="Person 2")*('Current Cycle Tracker'!$P$2:$P$200="Yes")),ROWS($A$93:A167)),"")</x:f>
      </x:c>
      <x:c r="D167">
        <x:f>IFERROR(INDEX(FILTER('Current Cycle Tracker'!$H$2:$H$200,('Current Cycle Tracker'!$B$2:$B$200="Person 2")*('Current Cycle Tracker'!$P$2:$P$200="Yes")),ROWS($A$93:A167)),"")</x:f>
      </x:c>
      <x:c r="E167">
        <x:f>IFERROR(INDEX(FILTER('Current Cycle Tracker'!$I$2:$I$200,('Current Cycle Tracker'!$B$2:$B$200="Person 2")*('Current Cycle Tracker'!$P$2:$P$200="Yes")),ROWS($A$93:A167)),"")</x:f>
      </x:c>
      <x:c r="F167">
        <x:f>IFERROR(INDEX(FILTER('Current Cycle Tracker'!$J$2:$J$200,('Current Cycle Tracker'!$B$2:$B$200="Person 2")*('Current Cycle Tracker'!$P$2:$P$200="Yes")),ROWS($A$93:A167)),"")</x:f>
      </x:c>
      <x:c r="G167">
        <x:f>IFERROR(INDEX(FILTER('Current Cycle Tracker'!$K$2:$K$200,('Current Cycle Tracker'!$B$2:$B$200="Person 2")*('Current Cycle Tracker'!$P$2:$P$200="Yes")),ROWS($A$93:A167)),"")</x:f>
      </x:c>
      <x:c r="H167">
        <x:f>IFERROR(INDEX(FILTER('Current Cycle Tracker'!$L$2:$L$200,('Current Cycle Tracker'!$B$2:$B$200="Person 2")*('Current Cycle Tracker'!$P$2:$P$200="Yes")),ROWS($A$93:A167)),"")</x:f>
      </x:c>
      <x:c r="I167">
        <x:f>IF(H167="","",IF(H167&gt;=1,"✅","☐"))</x:f>
      </x:c>
      <x:c r="J167">
        <x:f>IFERROR(INDEX(FILTER('Current Cycle Tracker'!$M$2:$M$200,('Current Cycle Tracker'!$B$2:$B$200="Person 2")*('Current Cycle Tracker'!$P$2:$P$200="Yes")),ROWS($A$93:A167)),"")</x:f>
      </x:c>
      <x:c r="K167">
        <x:f>IFERROR(INDEX(FILTER('Current Cycle Tracker'!$N$2:$N$200,('Current Cycle Tracker'!$B$2:$B$200="Person 2")*('Current Cycle Tracker'!$P$2:$P$200="Yes")),ROWS($A$93:A167)),"")</x:f>
      </x:c>
      <x:c r="L167">
        <x:f>IFERROR(INDEX(FILTER('Current Cycle Tracker'!$Q$2:$Q$200,('Current Cycle Tracker'!$B$2:$B$200="Person 2")*('Current Cycle Tracker'!$P$2:$P$200="Yes")),ROWS($A$93:A167)),"")</x:f>
      </x:c>
    </x:row>
    <x:row r="168">
      <x:c r="A168">
        <x:f>IFERROR(INDEX(FILTER('Current Cycle Tracker'!$C$2:$C$200,('Current Cycle Tracker'!$B$2:$B$200="Person 2")*('Current Cycle Tracker'!$P$2:$P$200="Yes")),ROWS($A$93:A168)),"")</x:f>
      </x:c>
      <x:c r="B168">
        <x:f>IFERROR(INDEX(FILTER('Current Cycle Tracker'!$D$2:$D$200,('Current Cycle Tracker'!$B$2:$B$200="Person 2")*('Current Cycle Tracker'!$P$2:$P$200="Yes")),ROWS($A$93:A168)),"")</x:f>
      </x:c>
      <x:c r="C168">
        <x:f>IFERROR(INDEX(FILTER('Current Cycle Tracker'!$G$2:$G$200,('Current Cycle Tracker'!$B$2:$B$200="Person 2")*('Current Cycle Tracker'!$P$2:$P$200="Yes")),ROWS($A$93:A168)),"")</x:f>
      </x:c>
      <x:c r="D168">
        <x:f>IFERROR(INDEX(FILTER('Current Cycle Tracker'!$H$2:$H$200,('Current Cycle Tracker'!$B$2:$B$200="Person 2")*('Current Cycle Tracker'!$P$2:$P$200="Yes")),ROWS($A$93:A168)),"")</x:f>
      </x:c>
      <x:c r="E168">
        <x:f>IFERROR(INDEX(FILTER('Current Cycle Tracker'!$I$2:$I$200,('Current Cycle Tracker'!$B$2:$B$200="Person 2")*('Current Cycle Tracker'!$P$2:$P$200="Yes")),ROWS($A$93:A168)),"")</x:f>
      </x:c>
      <x:c r="F168">
        <x:f>IFERROR(INDEX(FILTER('Current Cycle Tracker'!$J$2:$J$200,('Current Cycle Tracker'!$B$2:$B$200="Person 2")*('Current Cycle Tracker'!$P$2:$P$200="Yes")),ROWS($A$93:A168)),"")</x:f>
      </x:c>
      <x:c r="G168">
        <x:f>IFERROR(INDEX(FILTER('Current Cycle Tracker'!$K$2:$K$200,('Current Cycle Tracker'!$B$2:$B$200="Person 2")*('Current Cycle Tracker'!$P$2:$P$200="Yes")),ROWS($A$93:A168)),"")</x:f>
      </x:c>
      <x:c r="H168">
        <x:f>IFERROR(INDEX(FILTER('Current Cycle Tracker'!$L$2:$L$200,('Current Cycle Tracker'!$B$2:$B$200="Person 2")*('Current Cycle Tracker'!$P$2:$P$200="Yes")),ROWS($A$93:A168)),"")</x:f>
      </x:c>
      <x:c r="I168">
        <x:f>IF(H168="","",IF(H168&gt;=1,"✅","☐"))</x:f>
      </x:c>
      <x:c r="J168">
        <x:f>IFERROR(INDEX(FILTER('Current Cycle Tracker'!$M$2:$M$200,('Current Cycle Tracker'!$B$2:$B$200="Person 2")*('Current Cycle Tracker'!$P$2:$P$200="Yes")),ROWS($A$93:A168)),"")</x:f>
      </x:c>
      <x:c r="K168">
        <x:f>IFERROR(INDEX(FILTER('Current Cycle Tracker'!$N$2:$N$200,('Current Cycle Tracker'!$B$2:$B$200="Person 2")*('Current Cycle Tracker'!$P$2:$P$200="Yes")),ROWS($A$93:A168)),"")</x:f>
      </x:c>
      <x:c r="L168">
        <x:f>IFERROR(INDEX(FILTER('Current Cycle Tracker'!$Q$2:$Q$200,('Current Cycle Tracker'!$B$2:$B$200="Person 2")*('Current Cycle Tracker'!$P$2:$P$200="Yes")),ROWS($A$93:A168)),"")</x:f>
      </x:c>
    </x:row>
    <x:row r="169">
      <x:c r="A169">
        <x:f>IFERROR(INDEX(FILTER('Current Cycle Tracker'!$C$2:$C$200,('Current Cycle Tracker'!$B$2:$B$200="Person 2")*('Current Cycle Tracker'!$P$2:$P$200="Yes")),ROWS($A$93:A169)),"")</x:f>
      </x:c>
      <x:c r="B169">
        <x:f>IFERROR(INDEX(FILTER('Current Cycle Tracker'!$D$2:$D$200,('Current Cycle Tracker'!$B$2:$B$200="Person 2")*('Current Cycle Tracker'!$P$2:$P$200="Yes")),ROWS($A$93:A169)),"")</x:f>
      </x:c>
      <x:c r="C169">
        <x:f>IFERROR(INDEX(FILTER('Current Cycle Tracker'!$G$2:$G$200,('Current Cycle Tracker'!$B$2:$B$200="Person 2")*('Current Cycle Tracker'!$P$2:$P$200="Yes")),ROWS($A$93:A169)),"")</x:f>
      </x:c>
      <x:c r="D169">
        <x:f>IFERROR(INDEX(FILTER('Current Cycle Tracker'!$H$2:$H$200,('Current Cycle Tracker'!$B$2:$B$200="Person 2")*('Current Cycle Tracker'!$P$2:$P$200="Yes")),ROWS($A$93:A169)),"")</x:f>
      </x:c>
      <x:c r="E169">
        <x:f>IFERROR(INDEX(FILTER('Current Cycle Tracker'!$I$2:$I$200,('Current Cycle Tracker'!$B$2:$B$200="Person 2")*('Current Cycle Tracker'!$P$2:$P$200="Yes")),ROWS($A$93:A169)),"")</x:f>
      </x:c>
      <x:c r="F169">
        <x:f>IFERROR(INDEX(FILTER('Current Cycle Tracker'!$J$2:$J$200,('Current Cycle Tracker'!$B$2:$B$200="Person 2")*('Current Cycle Tracker'!$P$2:$P$200="Yes")),ROWS($A$93:A169)),"")</x:f>
      </x:c>
      <x:c r="G169">
        <x:f>IFERROR(INDEX(FILTER('Current Cycle Tracker'!$K$2:$K$200,('Current Cycle Tracker'!$B$2:$B$200="Person 2")*('Current Cycle Tracker'!$P$2:$P$200="Yes")),ROWS($A$93:A169)),"")</x:f>
      </x:c>
      <x:c r="H169">
        <x:f>IFERROR(INDEX(FILTER('Current Cycle Tracker'!$L$2:$L$200,('Current Cycle Tracker'!$B$2:$B$200="Person 2")*('Current Cycle Tracker'!$P$2:$P$200="Yes")),ROWS($A$93:A169)),"")</x:f>
      </x:c>
      <x:c r="I169">
        <x:f>IF(H169="","",IF(H169&gt;=1,"✅","☐"))</x:f>
      </x:c>
      <x:c r="J169">
        <x:f>IFERROR(INDEX(FILTER('Current Cycle Tracker'!$M$2:$M$200,('Current Cycle Tracker'!$B$2:$B$200="Person 2")*('Current Cycle Tracker'!$P$2:$P$200="Yes")),ROWS($A$93:A169)),"")</x:f>
      </x:c>
      <x:c r="K169">
        <x:f>IFERROR(INDEX(FILTER('Current Cycle Tracker'!$N$2:$N$200,('Current Cycle Tracker'!$B$2:$B$200="Person 2")*('Current Cycle Tracker'!$P$2:$P$200="Yes")),ROWS($A$93:A169)),"")</x:f>
      </x:c>
      <x:c r="L169">
        <x:f>IFERROR(INDEX(FILTER('Current Cycle Tracker'!$Q$2:$Q$200,('Current Cycle Tracker'!$B$2:$B$200="Person 2")*('Current Cycle Tracker'!$P$2:$P$200="Yes")),ROWS($A$93:A169)),"")</x:f>
      </x:c>
    </x:row>
    <x:row r="170">
      <x:c r="A170">
        <x:f>IFERROR(INDEX(FILTER('Current Cycle Tracker'!$C$2:$C$200,('Current Cycle Tracker'!$B$2:$B$200="Person 2")*('Current Cycle Tracker'!$P$2:$P$200="Yes")),ROWS($A$93:A170)),"")</x:f>
      </x:c>
      <x:c r="B170">
        <x:f>IFERROR(INDEX(FILTER('Current Cycle Tracker'!$D$2:$D$200,('Current Cycle Tracker'!$B$2:$B$200="Person 2")*('Current Cycle Tracker'!$P$2:$P$200="Yes")),ROWS($A$93:A170)),"")</x:f>
      </x:c>
      <x:c r="C170">
        <x:f>IFERROR(INDEX(FILTER('Current Cycle Tracker'!$G$2:$G$200,('Current Cycle Tracker'!$B$2:$B$200="Person 2")*('Current Cycle Tracker'!$P$2:$P$200="Yes")),ROWS($A$93:A170)),"")</x:f>
      </x:c>
      <x:c r="D170">
        <x:f>IFERROR(INDEX(FILTER('Current Cycle Tracker'!$H$2:$H$200,('Current Cycle Tracker'!$B$2:$B$200="Person 2")*('Current Cycle Tracker'!$P$2:$P$200="Yes")),ROWS($A$93:A170)),"")</x:f>
      </x:c>
      <x:c r="E170">
        <x:f>IFERROR(INDEX(FILTER('Current Cycle Tracker'!$I$2:$I$200,('Current Cycle Tracker'!$B$2:$B$200="Person 2")*('Current Cycle Tracker'!$P$2:$P$200="Yes")),ROWS($A$93:A170)),"")</x:f>
      </x:c>
      <x:c r="F170">
        <x:f>IFERROR(INDEX(FILTER('Current Cycle Tracker'!$J$2:$J$200,('Current Cycle Tracker'!$B$2:$B$200="Person 2")*('Current Cycle Tracker'!$P$2:$P$200="Yes")),ROWS($A$93:A170)),"")</x:f>
      </x:c>
      <x:c r="G170">
        <x:f>IFERROR(INDEX(FILTER('Current Cycle Tracker'!$K$2:$K$200,('Current Cycle Tracker'!$B$2:$B$200="Person 2")*('Current Cycle Tracker'!$P$2:$P$200="Yes")),ROWS($A$93:A170)),"")</x:f>
      </x:c>
      <x:c r="H170">
        <x:f>IFERROR(INDEX(FILTER('Current Cycle Tracker'!$L$2:$L$200,('Current Cycle Tracker'!$B$2:$B$200="Person 2")*('Current Cycle Tracker'!$P$2:$P$200="Yes")),ROWS($A$93:A170)),"")</x:f>
      </x:c>
      <x:c r="I170">
        <x:f>IF(H170="","",IF(H170&gt;=1,"✅","☐"))</x:f>
      </x:c>
      <x:c r="J170">
        <x:f>IFERROR(INDEX(FILTER('Current Cycle Tracker'!$M$2:$M$200,('Current Cycle Tracker'!$B$2:$B$200="Person 2")*('Current Cycle Tracker'!$P$2:$P$200="Yes")),ROWS($A$93:A170)),"")</x:f>
      </x:c>
      <x:c r="K170">
        <x:f>IFERROR(INDEX(FILTER('Current Cycle Tracker'!$N$2:$N$200,('Current Cycle Tracker'!$B$2:$B$200="Person 2")*('Current Cycle Tracker'!$P$2:$P$200="Yes")),ROWS($A$93:A170)),"")</x:f>
      </x:c>
      <x:c r="L170">
        <x:f>IFERROR(INDEX(FILTER('Current Cycle Tracker'!$Q$2:$Q$200,('Current Cycle Tracker'!$B$2:$B$200="Person 2")*('Current Cycle Tracker'!$P$2:$P$200="Yes")),ROWS($A$93:A170)),"")</x:f>
      </x:c>
    </x:row>
    <x:row r="171">
      <x:c r="A171">
        <x:f>IFERROR(INDEX(FILTER('Current Cycle Tracker'!$C$2:$C$200,('Current Cycle Tracker'!$B$2:$B$200="Person 2")*('Current Cycle Tracker'!$P$2:$P$200="Yes")),ROWS($A$93:A171)),"")</x:f>
      </x:c>
      <x:c r="B171">
        <x:f>IFERROR(INDEX(FILTER('Current Cycle Tracker'!$D$2:$D$200,('Current Cycle Tracker'!$B$2:$B$200="Person 2")*('Current Cycle Tracker'!$P$2:$P$200="Yes")),ROWS($A$93:A171)),"")</x:f>
      </x:c>
      <x:c r="C171">
        <x:f>IFERROR(INDEX(FILTER('Current Cycle Tracker'!$G$2:$G$200,('Current Cycle Tracker'!$B$2:$B$200="Person 2")*('Current Cycle Tracker'!$P$2:$P$200="Yes")),ROWS($A$93:A171)),"")</x:f>
      </x:c>
      <x:c r="D171">
        <x:f>IFERROR(INDEX(FILTER('Current Cycle Tracker'!$H$2:$H$200,('Current Cycle Tracker'!$B$2:$B$200="Person 2")*('Current Cycle Tracker'!$P$2:$P$200="Yes")),ROWS($A$93:A171)),"")</x:f>
      </x:c>
      <x:c r="E171">
        <x:f>IFERROR(INDEX(FILTER('Current Cycle Tracker'!$I$2:$I$200,('Current Cycle Tracker'!$B$2:$B$200="Person 2")*('Current Cycle Tracker'!$P$2:$P$200="Yes")),ROWS($A$93:A171)),"")</x:f>
      </x:c>
      <x:c r="F171">
        <x:f>IFERROR(INDEX(FILTER('Current Cycle Tracker'!$J$2:$J$200,('Current Cycle Tracker'!$B$2:$B$200="Person 2")*('Current Cycle Tracker'!$P$2:$P$200="Yes")),ROWS($A$93:A171)),"")</x:f>
      </x:c>
      <x:c r="G171">
        <x:f>IFERROR(INDEX(FILTER('Current Cycle Tracker'!$K$2:$K$200,('Current Cycle Tracker'!$B$2:$B$200="Person 2")*('Current Cycle Tracker'!$P$2:$P$200="Yes")),ROWS($A$93:A171)),"")</x:f>
      </x:c>
      <x:c r="H171">
        <x:f>IFERROR(INDEX(FILTER('Current Cycle Tracker'!$L$2:$L$200,('Current Cycle Tracker'!$B$2:$B$200="Person 2")*('Current Cycle Tracker'!$P$2:$P$200="Yes")),ROWS($A$93:A171)),"")</x:f>
      </x:c>
      <x:c r="I171">
        <x:f>IF(H171="","",IF(H171&gt;=1,"✅","☐"))</x:f>
      </x:c>
      <x:c r="J171">
        <x:f>IFERROR(INDEX(FILTER('Current Cycle Tracker'!$M$2:$M$200,('Current Cycle Tracker'!$B$2:$B$200="Person 2")*('Current Cycle Tracker'!$P$2:$P$200="Yes")),ROWS($A$93:A171)),"")</x:f>
      </x:c>
      <x:c r="K171">
        <x:f>IFERROR(INDEX(FILTER('Current Cycle Tracker'!$N$2:$N$200,('Current Cycle Tracker'!$B$2:$B$200="Person 2")*('Current Cycle Tracker'!$P$2:$P$200="Yes")),ROWS($A$93:A171)),"")</x:f>
      </x:c>
      <x:c r="L171">
        <x:f>IFERROR(INDEX(FILTER('Current Cycle Tracker'!$Q$2:$Q$200,('Current Cycle Tracker'!$B$2:$B$200="Person 2")*('Current Cycle Tracker'!$P$2:$P$200="Yes")),ROWS($A$93:A171)),"")</x:f>
      </x:c>
    </x:row>
    <x:row r="172">
      <x:c r="A172">
        <x:f>IFERROR(INDEX(FILTER('Current Cycle Tracker'!$C$2:$C$200,('Current Cycle Tracker'!$B$2:$B$200="Person 2")*('Current Cycle Tracker'!$P$2:$P$200="Yes")),ROWS($A$93:A172)),"")</x:f>
      </x:c>
      <x:c r="B172">
        <x:f>IFERROR(INDEX(FILTER('Current Cycle Tracker'!$D$2:$D$200,('Current Cycle Tracker'!$B$2:$B$200="Person 2")*('Current Cycle Tracker'!$P$2:$P$200="Yes")),ROWS($A$93:A172)),"")</x:f>
      </x:c>
      <x:c r="C172">
        <x:f>IFERROR(INDEX(FILTER('Current Cycle Tracker'!$G$2:$G$200,('Current Cycle Tracker'!$B$2:$B$200="Person 2")*('Current Cycle Tracker'!$P$2:$P$200="Yes")),ROWS($A$93:A172)),"")</x:f>
      </x:c>
      <x:c r="D172">
        <x:f>IFERROR(INDEX(FILTER('Current Cycle Tracker'!$H$2:$H$200,('Current Cycle Tracker'!$B$2:$B$200="Person 2")*('Current Cycle Tracker'!$P$2:$P$200="Yes")),ROWS($A$93:A172)),"")</x:f>
      </x:c>
      <x:c r="E172">
        <x:f>IFERROR(INDEX(FILTER('Current Cycle Tracker'!$I$2:$I$200,('Current Cycle Tracker'!$B$2:$B$200="Person 2")*('Current Cycle Tracker'!$P$2:$P$200="Yes")),ROWS($A$93:A172)),"")</x:f>
      </x:c>
      <x:c r="F172">
        <x:f>IFERROR(INDEX(FILTER('Current Cycle Tracker'!$J$2:$J$200,('Current Cycle Tracker'!$B$2:$B$200="Person 2")*('Current Cycle Tracker'!$P$2:$P$200="Yes")),ROWS($A$93:A172)),"")</x:f>
      </x:c>
      <x:c r="G172">
        <x:f>IFERROR(INDEX(FILTER('Current Cycle Tracker'!$K$2:$K$200,('Current Cycle Tracker'!$B$2:$B$200="Person 2")*('Current Cycle Tracker'!$P$2:$P$200="Yes")),ROWS($A$93:A172)),"")</x:f>
      </x:c>
      <x:c r="H172">
        <x:f>IFERROR(INDEX(FILTER('Current Cycle Tracker'!$L$2:$L$200,('Current Cycle Tracker'!$B$2:$B$200="Person 2")*('Current Cycle Tracker'!$P$2:$P$200="Yes")),ROWS($A$93:A172)),"")</x:f>
      </x:c>
      <x:c r="I172">
        <x:f>IF(H172="","",IF(H172&gt;=1,"✅","☐"))</x:f>
      </x:c>
      <x:c r="J172">
        <x:f>IFERROR(INDEX(FILTER('Current Cycle Tracker'!$M$2:$M$200,('Current Cycle Tracker'!$B$2:$B$200="Person 2")*('Current Cycle Tracker'!$P$2:$P$200="Yes")),ROWS($A$93:A172)),"")</x:f>
      </x:c>
      <x:c r="K172">
        <x:f>IFERROR(INDEX(FILTER('Current Cycle Tracker'!$N$2:$N$200,('Current Cycle Tracker'!$B$2:$B$200="Person 2")*('Current Cycle Tracker'!$P$2:$P$200="Yes")),ROWS($A$93:A172)),"")</x:f>
      </x:c>
      <x:c r="L172">
        <x:f>IFERROR(INDEX(FILTER('Current Cycle Tracker'!$Q$2:$Q$200,('Current Cycle Tracker'!$B$2:$B$200="Person 2")*('Current Cycle Tracker'!$P$2:$P$200="Yes")),ROWS($A$93:A172)),"")</x:f>
      </x:c>
    </x:row>
  </x:sheetData>
  <x:mergeCells>
    <x:mergeCell ref="A1:L1"/>
    <x:mergeCell ref="A2:L2"/>
    <x:mergeCell ref="A4:L4"/>
    <x:mergeCell ref="A91:L91"/>
  </x:mergeCells>
  <x:conditionalFormatting sqref="H6:H85">
    <x:cfRule type="dataBar" priority="1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H93:H172">
    <x:cfRule type="dataBar" priority="2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J6:J85">
    <x:cfRule type="expression" dxfId="5" priority="3">
      <x:formula>J6="Used"</x:formula>
    </x:cfRule>
    <x:cfRule type="expression" dxfId="6" priority="4">
      <x:formula>J6="Expiring Soon"</x:formula>
    </x:cfRule>
    <x:cfRule type="expression" dxfId="7" priority="5">
      <x:formula>J6="Missed"</x:formula>
    </x:cfRule>
    <x:cfRule type="expression" dxfId="8" priority="6">
      <x:formula>J6="Partially Used"</x:formula>
    </x:cfRule>
    <x:cfRule type="expression" dxfId="9" priority="7">
      <x:formula>J6="Review Terms"</x:formula>
    </x:cfRule>
    <x:cfRule type="expression" dxfId="15" priority="13">
      <x:formula>J6="Used"</x:formula>
    </x:cfRule>
    <x:cfRule type="expression" dxfId="16" priority="14">
      <x:formula>J6="Expiring Soon"</x:formula>
    </x:cfRule>
    <x:cfRule type="expression" dxfId="17" priority="15">
      <x:formula>J6="Missed"</x:formula>
    </x:cfRule>
    <x:cfRule type="expression" dxfId="18" priority="16">
      <x:formula>J6="Partially Used"</x:formula>
    </x:cfRule>
    <x:cfRule type="expression" dxfId="19" priority="17">
      <x:formula>J6="Review Terms"</x:formula>
    </x:cfRule>
  </x:conditionalFormatting>
  <x:conditionalFormatting sqref="J93:J172">
    <x:cfRule type="expression" dxfId="10" priority="8">
      <x:formula>J6="Used"</x:formula>
    </x:cfRule>
    <x:cfRule type="expression" dxfId="11" priority="9">
      <x:formula>J6="Expiring Soon"</x:formula>
    </x:cfRule>
    <x:cfRule type="expression" dxfId="12" priority="10">
      <x:formula>J6="Missed"</x:formula>
    </x:cfRule>
    <x:cfRule type="expression" dxfId="13" priority="11">
      <x:formula>J6="Partially Used"</x:formula>
    </x:cfRule>
    <x:cfRule type="expression" dxfId="14" priority="12">
      <x:formula>J6="Review Terms"</x:formula>
    </x:cfRule>
    <x:cfRule type="expression" dxfId="20" priority="18">
      <x:formula>J93="Used"</x:formula>
    </x:cfRule>
    <x:cfRule type="expression" dxfId="21" priority="19">
      <x:formula>J93="Expiring Soon"</x:formula>
    </x:cfRule>
    <x:cfRule type="expression" dxfId="22" priority="20">
      <x:formula>J93="Missed"</x:formula>
    </x:cfRule>
    <x:cfRule type="expression" dxfId="23" priority="21">
      <x:formula>J93="Partially Used"</x:formula>
    </x:cfRule>
    <x:cfRule type="expression" dxfId="24" priority="22">
      <x:formula>J93="Review Terms"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4F81BD"/>
            </x14:dataBar>
          </x14:cfRule>
          <xm:sqref>H6:H85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4F81BD"/>
            </x14:dataBar>
          </x14:cfRule>
          <xm:sqref>H93:H172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6" hidden="0" customWidth="1"/>
    <x:col min="4" max="4" width="14" hidden="0" customWidth="1"/>
    <x:col min="5" max="5" width="30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46" hidden="0" customWidth="1"/>
    <x:col min="12" max="12" width="70" hidden="0" customWidth="1"/>
  </x:cols>
  <x:sheetData>
    <x:row r="1">
      <x:c r="A1" s="6" t="str">
        <x:v>Card ID</x:v>
      </x:c>
      <x:c r="B1" s="6" t="str">
        <x:v>Owner</x:v>
      </x:c>
      <x:c r="C1" s="6" t="str">
        <x:v>Card Name</x:v>
      </x:c>
      <x:c r="D1" s="6" t="str">
        <x:v>Issuer</x:v>
      </x:c>
      <x:c r="E1" s="6" t="str">
        <x:v>Assumed Card Version</x:v>
      </x:c>
      <x:c r="F1" s="6" t="str">
        <x:v>Open Date</x:v>
      </x:c>
      <x:c r="G1" s="12" t="str">
        <x:v>Annual Fee</x:v>
      </x:c>
      <x:c r="H1" s="6" t="str">
        <x:v>Renewal Month</x:v>
      </x:c>
      <x:c r="I1" s="6" t="str">
        <x:v>Status</x:v>
      </x:c>
      <x:c r="J1" s="6" t="str">
        <x:v>Autopay?</x:v>
      </x:c>
      <x:c r="K1" s="6" t="str">
        <x:v>Notes</x:v>
      </x:c>
      <x:c r="L1" s="6" t="str">
        <x:v>Source URL</x:v>
      </x:c>
    </x:row>
    <x:row r="2">
      <x:c r="A2" t="str">
        <x:v>amex_gold_p1</x:v>
      </x:c>
      <x:c r="B2" t="str">
        <x:v>Person 1</x:v>
      </x:c>
      <x:c r="C2" t="str">
        <x:v>American Express Gold Card</x:v>
      </x:c>
      <x:c r="D2" t="str">
        <x:v>Amex</x:v>
      </x:c>
      <x:c r="E2" t="str">
        <x:v>Personal Gold</x:v>
      </x:c>
      <x:c r="F2" t="str"/>
      <x:c r="G2" t="n">
        <x:v>325</x:v>
      </x:c>
      <x:c r="H2" t="str"/>
      <x:c r="I2" t="str">
        <x:v>Active</x:v>
      </x:c>
      <x:c r="J2" t="str"/>
      <x:c r="K2" t="str">
        <x:v>Owner assumed; edit if needed.</x:v>
      </x:c>
      <x:c r="L2" t="str">
        <x:v>https://www.americanexpress.com/us/credit-cards/card/gold-card/</x:v>
      </x:c>
    </x:row>
    <x:row r="3">
      <x:c r="A3" t="str">
        <x:v>amex_platinum_p1</x:v>
      </x:c>
      <x:c r="B3" t="str">
        <x:v>Person 1</x:v>
      </x:c>
      <x:c r="C3" t="str">
        <x:v>American Express Platinum Card</x:v>
      </x:c>
      <x:c r="D3" t="str">
        <x:v>Amex</x:v>
      </x:c>
      <x:c r="E3" t="str">
        <x:v>Personal Platinum</x:v>
      </x:c>
      <x:c r="F3" t="str"/>
      <x:c r="G3" t="n">
        <x:v>895</x:v>
      </x:c>
      <x:c r="H3" t="str"/>
      <x:c r="I3" t="str">
        <x:v>Active</x:v>
      </x:c>
      <x:c r="J3" t="str"/>
      <x:c r="K3" t="str"/>
      <x:c r="L3" t="str">
        <x:v>https://www.americanexpress.com/us/credit-cards/card/platinum/</x:v>
      </x:c>
    </x:row>
    <x:row r="4">
      <x:c r="A4" t="str">
        <x:v>amex_platinum_p2</x:v>
      </x:c>
      <x:c r="B4" t="str">
        <x:v>Person 2</x:v>
      </x:c>
      <x:c r="C4" t="str">
        <x:v>American Express Platinum Card</x:v>
      </x:c>
      <x:c r="D4" t="str">
        <x:v>Amex</x:v>
      </x:c>
      <x:c r="E4" t="str">
        <x:v>Personal Platinum</x:v>
      </x:c>
      <x:c r="F4" t="str"/>
      <x:c r="G4" t="n">
        <x:v>895</x:v>
      </x:c>
      <x:c r="H4" t="str"/>
      <x:c r="I4" t="str">
        <x:v>Active</x:v>
      </x:c>
      <x:c r="J4" t="str"/>
      <x:c r="K4" t="str"/>
      <x:c r="L4" t="str">
        <x:v>https://www.americanexpress.com/us/credit-cards/card/platinum/</x:v>
      </x:c>
    </x:row>
    <x:row r="5">
      <x:c r="A5" t="str">
        <x:v>chase_sapphire_preferred_p1</x:v>
      </x:c>
      <x:c r="B5" t="str">
        <x:v>Person 1</x:v>
      </x:c>
      <x:c r="C5" t="str">
        <x:v>Chase Sapphire Preferred</x:v>
      </x:c>
      <x:c r="D5" t="str">
        <x:v>Chase</x:v>
      </x:c>
      <x:c r="E5" t="str">
        <x:v>Preferred</x:v>
      </x:c>
      <x:c r="F5" t="str"/>
      <x:c r="G5" t="n">
        <x:v>95</x:v>
      </x:c>
      <x:c r="H5" t="str"/>
      <x:c r="I5" t="str">
        <x:v>Active</x:v>
      </x:c>
      <x:c r="J5" t="str"/>
      <x:c r="K5" t="str">
        <x:v>Owner assumed; edit if needed.</x:v>
      </x:c>
      <x:c r="L5" t="str">
        <x:v>https://account.chase.com/sapphire/preferred/benefits</x:v>
      </x:c>
    </x:row>
    <x:row r="6">
      <x:c r="A6" t="str">
        <x:v>chase_sapphire_reserve_p1</x:v>
      </x:c>
      <x:c r="B6" t="str">
        <x:v>Person 1</x:v>
      </x:c>
      <x:c r="C6" t="str">
        <x:v>Chase Sapphire Reserve</x:v>
      </x:c>
      <x:c r="D6" t="str">
        <x:v>Chase</x:v>
      </x:c>
      <x:c r="E6" t="str">
        <x:v>Reserve</x:v>
      </x:c>
      <x:c r="F6" t="str"/>
      <x:c r="G6" t="n">
        <x:v>795</x:v>
      </x:c>
      <x:c r="H6" t="str"/>
      <x:c r="I6" t="str">
        <x:v>Active</x:v>
      </x:c>
      <x:c r="J6" t="str"/>
      <x:c r="K6" t="str"/>
      <x:c r="L6" t="str">
        <x:v>https://account.chase.com/sapphire/reserve/benefits</x:v>
      </x:c>
    </x:row>
    <x:row r="7">
      <x:c r="A7" t="str">
        <x:v>chase_sapphire_reserve_p2</x:v>
      </x:c>
      <x:c r="B7" t="str">
        <x:v>Person 2</x:v>
      </x:c>
      <x:c r="C7" t="str">
        <x:v>Chase Sapphire Reserve</x:v>
      </x:c>
      <x:c r="D7" t="str">
        <x:v>Chase</x:v>
      </x:c>
      <x:c r="E7" t="str">
        <x:v>Reserve</x:v>
      </x:c>
      <x:c r="F7" t="str"/>
      <x:c r="G7" t="n">
        <x:v>795</x:v>
      </x:c>
      <x:c r="H7" t="str"/>
      <x:c r="I7" t="str">
        <x:v>Active</x:v>
      </x:c>
      <x:c r="J7" t="str"/>
      <x:c r="K7" t="str"/>
      <x:c r="L7" t="str">
        <x:v>https://account.chase.com/sapphire/reserve/benefits</x:v>
      </x:c>
    </x:row>
    <x:row r="8">
      <x:c r="A8" t="str">
        <x:v>chase_united_quest_p1</x:v>
      </x:c>
      <x:c r="B8" t="str">
        <x:v>Person 1</x:v>
      </x:c>
      <x:c r="C8" t="str">
        <x:v>Chase United Quest</x:v>
      </x:c>
      <x:c r="D8" t="str">
        <x:v>Chase</x:v>
      </x:c>
      <x:c r="E8" t="str">
        <x:v>United Quest</x:v>
      </x:c>
      <x:c r="F8" t="str"/>
      <x:c r="G8" t="n">
        <x:v>350</x:v>
      </x:c>
      <x:c r="H8" t="str"/>
      <x:c r="I8" t="str">
        <x:v>Active</x:v>
      </x:c>
      <x:c r="J8" t="str"/>
      <x:c r="K8" t="str">
        <x:v>Owner assumed; edit if needed.</x:v>
      </x:c>
      <x:c r="L8" t="str">
        <x:v>https://www.chase.com/personal/credit-cards/united/united-quest-card</x:v>
      </x:c>
    </x:row>
    <x:row r="9">
      <x:c r="A9" t="str">
        <x:v>chase_marriott_boundless_p1</x:v>
      </x:c>
      <x:c r="B9" t="str">
        <x:v>Person 1</x:v>
      </x:c>
      <x:c r="C9" t="str">
        <x:v>Chase Marriott Bonvoy</x:v>
      </x:c>
      <x:c r="D9" t="str">
        <x:v>Chase</x:v>
      </x:c>
      <x:c r="E9" t="str">
        <x:v>Assumed: Marriott Bonvoy Boundless</x:v>
      </x:c>
      <x:c r="F9" t="str"/>
      <x:c r="G9" t="n">
        <x:v>95</x:v>
      </x:c>
      <x:c r="H9" t="str"/>
      <x:c r="I9" t="str">
        <x:v>Active</x:v>
      </x:c>
      <x:c r="J9" t="str"/>
      <x:c r="K9" t="str">
        <x:v>Please change if your Marriott card is Bold/Bountiful/Ritz.</x:v>
      </x:c>
      <x:c r="L9" t="str">
        <x:v>https://www.marriott.com/credit-cards/chase-credit-cards.mi</x:v>
      </x:c>
    </x:row>
    <x:row r="10">
      <x:c r="A10" t="str">
        <x:v>chase_marriott_boundless_p2</x:v>
      </x:c>
      <x:c r="B10" t="str">
        <x:v>Person 2</x:v>
      </x:c>
      <x:c r="C10" t="str">
        <x:v>Chase Marriott Bonvoy</x:v>
      </x:c>
      <x:c r="D10" t="str">
        <x:v>Chase</x:v>
      </x:c>
      <x:c r="E10" t="str">
        <x:v>Assumed: Marriott Bonvoy Boundless</x:v>
      </x:c>
      <x:c r="F10" t="str"/>
      <x:c r="G10" t="n">
        <x:v>95</x:v>
      </x:c>
      <x:c r="H10" t="str"/>
      <x:c r="I10" t="str">
        <x:v>Active</x:v>
      </x:c>
      <x:c r="J10" t="str"/>
      <x:c r="K10" t="str">
        <x:v>Please change if your Marriott card is Bold/Bountiful/Ritz.</x:v>
      </x:c>
      <x:c r="L10" t="str">
        <x:v>https://www.marriott.com/credit-cards/chase-credit-cards.mi</x:v>
      </x:c>
    </x:row>
    <x:row r="11">
      <x:c r="A11" t="str">
        <x:v>chase_hyatt_p1</x:v>
      </x:c>
      <x:c r="B11" t="str">
        <x:v>Person 1</x:v>
      </x:c>
      <x:c r="C11" t="str">
        <x:v>World of Hyatt Credit Card</x:v>
      </x:c>
      <x:c r="D11" t="str">
        <x:v>Chase</x:v>
      </x:c>
      <x:c r="E11" t="str">
        <x:v>World of Hyatt Consumer</x:v>
      </x:c>
      <x:c r="F11" t="str"/>
      <x:c r="G11" t="n">
        <x:v>95</x:v>
      </x:c>
      <x:c r="H11" t="str"/>
      <x:c r="I11" t="str">
        <x:v>Active</x:v>
      </x:c>
      <x:c r="J11" t="str"/>
      <x:c r="K11" t="str">
        <x:v>Owner assumed; edit if needed.</x:v>
      </x:c>
      <x:c r="L11" t="str">
        <x:v>https://world.hyatt.com/content/gp/en/rewards/hyatt-credit-card.html</x:v>
      </x:c>
    </x:row>
    <x:row r="12">
      <x:c r="A12" t="str">
        <x:v>amex_hilton_p1</x:v>
      </x:c>
      <x:c r="B12" t="str">
        <x:v>Person 1</x:v>
      </x:c>
      <x:c r="C12" t="str">
        <x:v>Hilton Honors American Express</x:v>
      </x:c>
      <x:c r="D12" t="str">
        <x:v>Amex</x:v>
      </x:c>
      <x:c r="E12" t="str">
        <x:v>Assumed: Hilton Honors Surpass</x:v>
      </x:c>
      <x:c r="F12" t="str"/>
      <x:c r="G12" t="n">
        <x:v>150</x:v>
      </x:c>
      <x:c r="H12" t="str"/>
      <x:c r="I12" t="str">
        <x:v>Active</x:v>
      </x:c>
      <x:c r="J12" t="str"/>
      <x:c r="K12" t="str">
        <x:v>Please change if your Hilton card is no-fee or Aspire.</x:v>
      </x:c>
      <x:c r="L12" t="str">
        <x:v>https://global.americanexpress.com/card-benefits/view-all/hilton-surpass</x:v>
      </x:c>
    </x:row>
    <x:row r="13">
      <x:c r="A13" t="str">
        <x:v>usbank_altitude_reserve_p1</x:v>
      </x:c>
      <x:c r="B13" t="str">
        <x:v>Person 1</x:v>
      </x:c>
      <x:c r="C13" t="str">
        <x:v>U.S. Bank Altitude Reserve Visa Infinite</x:v>
      </x:c>
      <x:c r="D13" t="str">
        <x:v>U.S. Bank</x:v>
      </x:c>
      <x:c r="E13" t="str">
        <x:v>Altitude Reserve Visa Infinite</x:v>
      </x:c>
      <x:c r="F13" t="str"/>
      <x:c r="G13" t="n">
        <x:v>400</x:v>
      </x:c>
      <x:c r="H13" t="str"/>
      <x:c r="I13" t="str">
        <x:v>Active</x:v>
      </x:c>
      <x:c r="J13" t="str"/>
      <x:c r="K13" t="str">
        <x:v>Owner assumed; edit if needed.</x:v>
      </x:c>
      <x:c r="L13" t="str">
        <x:v>https://rewards.usbank.com/benefits/card/AltitudeReserveBenefits</x:v>
      </x:c>
    </x:row>
  </x:sheetData>
  <x:dataValidations count="2">
    <x:dataValidation type="list" sqref="B2:B100">
      <x:formula1>Lists!$A$2:$A$4</x:formula1>
    </x:dataValidation>
    <x:dataValidation type="list" sqref="I2:I100">
      <x:formula1>Lists!$I$2:$I$4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0bc00207814a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34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20" hidden="0" customWidth="1"/>
    <x:col min="12" max="12" width="18" hidden="0" customWidth="1"/>
    <x:col min="13" max="13" width="16" hidden="0" customWidth="1"/>
    <x:col min="14" max="14" width="14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55" hidden="0" customWidth="1"/>
    <x:col min="20" max="20" width="72" hidden="0" customWidth="1"/>
    <x:col min="21" max="21" width="28" hidden="0" customWidth="1"/>
  </x:cols>
  <x:sheetData>
    <x:row r="1">
      <x:c r="A1" s="6" t="str">
        <x:v>Benefit ID</x:v>
      </x:c>
      <x:c r="B1" s="6" t="str">
        <x:v>Owner</x:v>
      </x:c>
      <x:c r="C1" s="6" t="str">
        <x:v>Card ID</x:v>
      </x:c>
      <x:c r="D1" s="6" t="str">
        <x:v>Card Name</x:v>
      </x:c>
      <x:c r="E1" s="6" t="str">
        <x:v>Benefit Name</x:v>
      </x:c>
      <x:c r="F1" s="6" t="str">
        <x:v>Benefit Type</x:v>
      </x:c>
      <x:c r="G1" s="6" t="str">
        <x:v>Category</x:v>
      </x:c>
      <x:c r="H1" s="14" t="str">
        <x:v>Face Value</x:v>
      </x:c>
      <x:c r="I1" s="14" t="str">
        <x:v>Realistic Value</x:v>
      </x:c>
      <x:c r="J1" s="6" t="str">
        <x:v>Frequency</x:v>
      </x:c>
      <x:c r="K1" s="6" t="str">
        <x:v>Cycle Rule</x:v>
      </x:c>
      <x:c r="L1" s="6" t="str">
        <x:v>Expiration Rule</x:v>
      </x:c>
      <x:c r="M1" s="16" t="str">
        <x:v>Specific Expiry Date</x:v>
      </x:c>
      <x:c r="N1" s="6" t="str">
        <x:v>Alert Days Before Expiry</x:v>
      </x:c>
      <x:c r="O1" s="6" t="str">
        <x:v>Track Type</x:v>
      </x:c>
      <x:c r="P1" s="6" t="str">
        <x:v>Priority</x:v>
      </x:c>
      <x:c r="Q1" s="6" t="str">
        <x:v>Include in Alert?</x:v>
      </x:c>
      <x:c r="R1" s="6" t="str">
        <x:v>Ease of Use</x:v>
      </x:c>
      <x:c r="S1" s="6" t="str">
        <x:v>Notes</x:v>
      </x:c>
      <x:c r="T1" s="6" t="str">
        <x:v>Source URL</x:v>
      </x:c>
      <x:c r="U1" s="6" t="str">
        <x:v>Review Needed?</x:v>
      </x:c>
    </x:row>
    <x:row r="2">
      <x:c r="A2" t="str">
        <x:v>amex_gold_p1_uber_monthly</x:v>
      </x:c>
      <x:c r="B2" t="str">
        <x:v>Person 1</x:v>
      </x:c>
      <x:c r="C2" t="str">
        <x:v>amex_gold_p1</x:v>
      </x:c>
      <x:c r="D2" t="str">
        <x:v>American Express Gold Card</x:v>
      </x:c>
      <x:c r="E2" t="str">
        <x:v>Uber Cash</x:v>
      </x:c>
      <x:c r="F2" t="str">
        <x:v>Credit</x:v>
      </x:c>
      <x:c r="G2" t="str">
        <x:v>Rideshare</x:v>
      </x:c>
      <x:c r="H2" t="n">
        <x:v>10</x:v>
      </x:c>
      <x:c r="I2" t="n">
        <x:v>10</x:v>
      </x:c>
      <x:c r="J2" t="str">
        <x:v>Monthly</x:v>
      </x:c>
      <x:c r="K2" t="str">
        <x:v>Calendar Month</x:v>
      </x:c>
      <x:c r="L2" t="str">
        <x:v>End of Month</x:v>
      </x:c>
      <x:c r="M2" t="str"/>
      <x:c r="N2" t="n">
        <x:v>5</x:v>
      </x:c>
      <x:c r="O2" t="str">
        <x:v>Amount</x:v>
      </x:c>
      <x:c r="P2" t="str">
        <x:v>High</x:v>
      </x:c>
      <x:c r="Q2" t="str">
        <x:v>Yes</x:v>
      </x:c>
      <x:c r="R2" t="str">
        <x:v>Easy</x:v>
      </x:c>
      <x:c r="S2" t="str">
        <x:v>$10 monthly Uber Cash; add card to Uber account.</x:v>
      </x:c>
      <x:c r="T2" t="str">
        <x:v>https://global.americanexpress.com/card-benefits/detail/uber-cash/gold</x:v>
      </x:c>
      <x:c r="U2" t="str"/>
    </x:row>
    <x:row r="3">
      <x:c r="A3" t="str">
        <x:v>amex_gold_p1_dining_monthly</x:v>
      </x:c>
      <x:c r="B3" t="str">
        <x:v>Person 1</x:v>
      </x:c>
      <x:c r="C3" t="str">
        <x:v>amex_gold_p1</x:v>
      </x:c>
      <x:c r="D3" t="str">
        <x:v>American Express Gold Card</x:v>
      </x:c>
      <x:c r="E3" t="str">
        <x:v>Dining Credit</x:v>
      </x:c>
      <x:c r="F3" t="str">
        <x:v>Credit</x:v>
      </x:c>
      <x:c r="G3" t="str">
        <x:v>Dining</x:v>
      </x:c>
      <x:c r="H3" t="n">
        <x:v>10</x:v>
      </x:c>
      <x:c r="I3" t="n">
        <x:v>10</x:v>
      </x:c>
      <x:c r="J3" t="str">
        <x:v>Monthly</x:v>
      </x:c>
      <x:c r="K3" t="str">
        <x:v>Calendar Month</x:v>
      </x:c>
      <x:c r="L3" t="str">
        <x:v>End of Month</x:v>
      </x:c>
      <x:c r="M3" t="str"/>
      <x:c r="N3" t="n">
        <x:v>5</x:v>
      </x:c>
      <x:c r="O3" t="str">
        <x:v>Amount</x:v>
      </x:c>
      <x:c r="P3" t="str">
        <x:v>High</x:v>
      </x:c>
      <x:c r="Q3" t="str">
        <x:v>Yes</x:v>
      </x:c>
      <x:c r="R3" t="str">
        <x:v>Medium</x:v>
      </x:c>
      <x:c r="S3" t="str">
        <x:v>Monthly dining statement credit at eligible partners; enrollment required.</x:v>
      </x:c>
      <x:c r="T3" t="str">
        <x:v>https://global.americanexpress.com/card-benefits/detail/dining-credit/gold</x:v>
      </x:c>
      <x:c r="U3" t="str"/>
    </x:row>
    <x:row r="4">
      <x:c r="A4" t="str">
        <x:v>amex_gold_p1_dunkin_monthly</x:v>
      </x:c>
      <x:c r="B4" t="str">
        <x:v>Person 1</x:v>
      </x:c>
      <x:c r="C4" t="str">
        <x:v>amex_gold_p1</x:v>
      </x:c>
      <x:c r="D4" t="str">
        <x:v>American Express Gold Card</x:v>
      </x:c>
      <x:c r="E4" t="str">
        <x:v>Dunkin Credit</x:v>
      </x:c>
      <x:c r="F4" t="str">
        <x:v>Credit</x:v>
      </x:c>
      <x:c r="G4" t="str">
        <x:v>Dining</x:v>
      </x:c>
      <x:c r="H4" t="n">
        <x:v>7</x:v>
      </x:c>
      <x:c r="I4" t="n">
        <x:v>7</x:v>
      </x:c>
      <x:c r="J4" t="str">
        <x:v>Monthly</x:v>
      </x:c>
      <x:c r="K4" t="str">
        <x:v>Calendar Month</x:v>
      </x:c>
      <x:c r="L4" t="str">
        <x:v>End of Month</x:v>
      </x:c>
      <x:c r="M4" t="str"/>
      <x:c r="N4" t="n">
        <x:v>5</x:v>
      </x:c>
      <x:c r="O4" t="str">
        <x:v>Amount</x:v>
      </x:c>
      <x:c r="P4" t="str">
        <x:v>Medium</x:v>
      </x:c>
      <x:c r="Q4" t="str">
        <x:v>Yes</x:v>
      </x:c>
      <x:c r="R4" t="str">
        <x:v>Medium</x:v>
      </x:c>
      <x:c r="S4" t="str">
        <x:v>Up to $7 monthly at U.S. Dunkin locations; enrollment required.</x:v>
      </x:c>
      <x:c r="T4" t="str">
        <x:v>https://global.americanexpress.com/card-benefits/detail/dunkin-credit/gold</x:v>
      </x:c>
      <x:c r="U4" t="str"/>
    </x:row>
    <x:row r="5">
      <x:c r="A5" t="str">
        <x:v>amex_gold_p1_resy_h1</x:v>
      </x:c>
      <x:c r="B5" t="str">
        <x:v>Person 1</x:v>
      </x:c>
      <x:c r="C5" t="str">
        <x:v>amex_gold_p1</x:v>
      </x:c>
      <x:c r="D5" t="str">
        <x:v>American Express Gold Card</x:v>
      </x:c>
      <x:c r="E5" t="str">
        <x:v>Resy Credit H1</x:v>
      </x:c>
      <x:c r="F5" t="str">
        <x:v>Credit</x:v>
      </x:c>
      <x:c r="G5" t="str">
        <x:v>Dining</x:v>
      </x:c>
      <x:c r="H5" t="n">
        <x:v>50</x:v>
      </x:c>
      <x:c r="I5" t="n">
        <x:v>50</x:v>
      </x:c>
      <x:c r="J5" t="str">
        <x:v>Semiannual</x:v>
      </x:c>
      <x:c r="K5" t="str">
        <x:v>Jan-Jun</x:v>
      </x:c>
      <x:c r="L5" t="str">
        <x:v>June 30</x:v>
      </x:c>
      <x:c r="M5" t="str"/>
      <x:c r="N5" t="n">
        <x:v>14</x:v>
      </x:c>
      <x:c r="O5" t="str">
        <x:v>Amount</x:v>
      </x:c>
      <x:c r="P5" t="str">
        <x:v>Medium</x:v>
      </x:c>
      <x:c r="Q5" t="str">
        <x:v>Yes</x:v>
      </x:c>
      <x:c r="R5" t="str">
        <x:v>Medium</x:v>
      </x:c>
      <x:c r="S5" t="str">
        <x:v>Up to $50 semi-annually on eligible Resy purchases.</x:v>
      </x:c>
      <x:c r="T5" t="str">
        <x:v>https://global.americanexpress.com/card-benefits/detail/resy-credit/gold</x:v>
      </x:c>
      <x:c r="U5" t="str"/>
    </x:row>
    <x:row r="6">
      <x:c r="A6" t="str">
        <x:v>amex_gold_p1_resy_h2</x:v>
      </x:c>
      <x:c r="B6" t="str">
        <x:v>Person 1</x:v>
      </x:c>
      <x:c r="C6" t="str">
        <x:v>amex_gold_p1</x:v>
      </x:c>
      <x:c r="D6" t="str">
        <x:v>American Express Gold Card</x:v>
      </x:c>
      <x:c r="E6" t="str">
        <x:v>Resy Credit H2</x:v>
      </x:c>
      <x:c r="F6" t="str">
        <x:v>Credit</x:v>
      </x:c>
      <x:c r="G6" t="str">
        <x:v>Dining</x:v>
      </x:c>
      <x:c r="H6" t="n">
        <x:v>50</x:v>
      </x:c>
      <x:c r="I6" t="n">
        <x:v>50</x:v>
      </x:c>
      <x:c r="J6" t="str">
        <x:v>Semiannual</x:v>
      </x:c>
      <x:c r="K6" t="str">
        <x:v>Jul-Dec</x:v>
      </x:c>
      <x:c r="L6" t="str">
        <x:v>Dec 31</x:v>
      </x:c>
      <x:c r="M6" t="str"/>
      <x:c r="N6" t="n">
        <x:v>14</x:v>
      </x:c>
      <x:c r="O6" t="str">
        <x:v>Amount</x:v>
      </x:c>
      <x:c r="P6" t="str">
        <x:v>Medium</x:v>
      </x:c>
      <x:c r="Q6" t="str">
        <x:v>Yes</x:v>
      </x:c>
      <x:c r="R6" t="str">
        <x:v>Medium</x:v>
      </x:c>
      <x:c r="S6" t="str">
        <x:v>Up to $50 semi-annually on eligible Resy purchases.</x:v>
      </x:c>
      <x:c r="T6" t="str">
        <x:v>https://global.americanexpress.com/card-benefits/detail/resy-credit/gold</x:v>
      </x:c>
      <x:c r="U6" t="str"/>
    </x:row>
    <x:row r="7">
      <x:c r="A7" t="str">
        <x:v>amex_platinum_p1_uber_monthly</x:v>
      </x:c>
      <x:c r="B7" t="str">
        <x:v>Person 1</x:v>
      </x:c>
      <x:c r="C7" t="str">
        <x:v>amex_platinum_p1</x:v>
      </x:c>
      <x:c r="D7" t="str">
        <x:v>American Express Platinum Card</x:v>
      </x:c>
      <x:c r="E7" t="str">
        <x:v>Uber Cash</x:v>
      </x:c>
      <x:c r="F7" t="str">
        <x:v>Credit</x:v>
      </x:c>
      <x:c r="G7" t="str">
        <x:v>Rideshare</x:v>
      </x:c>
      <x:c r="H7" t="n">
        <x:v>15</x:v>
      </x:c>
      <x:c r="I7" t="n">
        <x:v>15</x:v>
      </x:c>
      <x:c r="J7" t="str">
        <x:v>Monthly</x:v>
      </x:c>
      <x:c r="K7" t="str">
        <x:v>Calendar Month</x:v>
      </x:c>
      <x:c r="L7" t="str">
        <x:v>End of Month</x:v>
      </x:c>
      <x:c r="M7" t="str"/>
      <x:c r="N7" t="n">
        <x:v>5</x:v>
      </x:c>
      <x:c r="O7" t="str">
        <x:v>Amount</x:v>
      </x:c>
      <x:c r="P7" t="str">
        <x:v>High</x:v>
      </x:c>
      <x:c r="Q7" t="str">
        <x:v>Yes</x:v>
      </x:c>
      <x:c r="R7" t="str">
        <x:v>Easy</x:v>
      </x:c>
      <x:c r="S7" t="str">
        <x:v>$15 monthly Uber Cash; December typically has bonus cash.</x:v>
      </x:c>
      <x:c r="T7" t="str">
        <x:v>https://www.americanexpress.com/en-us/account/get-started/platinum/benefits-overview</x:v>
      </x:c>
      <x:c r="U7" t="str"/>
    </x:row>
    <x:row r="8">
      <x:c r="A8" t="str">
        <x:v>amex_platinum_p1_digital_entertainment</x:v>
      </x:c>
      <x:c r="B8" t="str">
        <x:v>Person 1</x:v>
      </x:c>
      <x:c r="C8" t="str">
        <x:v>amex_platinum_p1</x:v>
      </x:c>
      <x:c r="D8" t="str">
        <x:v>American Express Platinum Card</x:v>
      </x:c>
      <x:c r="E8" t="str">
        <x:v>Digital Entertainment Credit</x:v>
      </x:c>
      <x:c r="F8" t="str">
        <x:v>Credit</x:v>
      </x:c>
      <x:c r="G8" t="str">
        <x:v>Entertainment</x:v>
      </x:c>
      <x:c r="H8" t="n">
        <x:v>25</x:v>
      </x:c>
      <x:c r="I8" t="n">
        <x:v>25</x:v>
      </x:c>
      <x:c r="J8" t="str">
        <x:v>Monthly</x:v>
      </x:c>
      <x:c r="K8" t="str">
        <x:v>Calendar Month</x:v>
      </x:c>
      <x:c r="L8" t="str">
        <x:v>End of Month</x:v>
      </x:c>
      <x:c r="M8" t="str"/>
      <x:c r="N8" t="n">
        <x:v>5</x:v>
      </x:c>
      <x:c r="O8" t="str">
        <x:v>Amount</x:v>
      </x:c>
      <x:c r="P8" t="str">
        <x:v>High</x:v>
      </x:c>
      <x:c r="Q8" t="str">
        <x:v>Yes</x:v>
      </x:c>
      <x:c r="R8" t="str">
        <x:v>Easy</x:v>
      </x:c>
      <x:c r="S8" t="str">
        <x:v>Up to $25/month; enrollment required.</x:v>
      </x:c>
      <x:c r="T8" t="str">
        <x:v>https://www.americanexpress.com/us/credit-cards/card/platinum/</x:v>
      </x:c>
      <x:c r="U8" t="str"/>
    </x:row>
    <x:row r="9">
      <x:c r="A9" t="str">
        <x:v>amex_platinum_p1_resy_quarterly</x:v>
      </x:c>
      <x:c r="B9" t="str">
        <x:v>Person 1</x:v>
      </x:c>
      <x:c r="C9" t="str">
        <x:v>amex_platinum_p1</x:v>
      </x:c>
      <x:c r="D9" t="str">
        <x:v>American Express Platinum Card</x:v>
      </x:c>
      <x:c r="E9" t="str">
        <x:v>Resy Credit</x:v>
      </x:c>
      <x:c r="F9" t="str">
        <x:v>Credit</x:v>
      </x:c>
      <x:c r="G9" t="str">
        <x:v>Dining</x:v>
      </x:c>
      <x:c r="H9" t="n">
        <x:v>100</x:v>
      </x:c>
      <x:c r="I9" t="n">
        <x:v>100</x:v>
      </x:c>
      <x:c r="J9" t="str">
        <x:v>Quarterly</x:v>
      </x:c>
      <x:c r="K9" t="str">
        <x:v>Calendar Quarter</x:v>
      </x:c>
      <x:c r="L9" t="str">
        <x:v>End of Quarter</x:v>
      </x:c>
      <x:c r="M9" t="str"/>
      <x:c r="N9" t="n">
        <x:v>10</x:v>
      </x:c>
      <x:c r="O9" t="str">
        <x:v>Amount</x:v>
      </x:c>
      <x:c r="P9" t="str">
        <x:v>High</x:v>
      </x:c>
      <x:c r="Q9" t="str">
        <x:v>Yes</x:v>
      </x:c>
      <x:c r="R9" t="str">
        <x:v>Medium</x:v>
      </x:c>
      <x:c r="S9" t="str">
        <x:v>Up to $100 per quarter on eligible Resy purchases; enrollment required.</x:v>
      </x:c>
      <x:c r="T9" t="str">
        <x:v>https://global.americanexpress.com/card-benefits/detail/400-resy-credit/platinum</x:v>
      </x:c>
      <x:c r="U9" t="str"/>
    </x:row>
    <x:row r="10">
      <x:c r="A10" t="str">
        <x:v>amex_platinum_p1_lululemon_quarterly</x:v>
      </x:c>
      <x:c r="B10" t="str">
        <x:v>Person 1</x:v>
      </x:c>
      <x:c r="C10" t="str">
        <x:v>amex_platinum_p1</x:v>
      </x:c>
      <x:c r="D10" t="str">
        <x:v>American Express Platinum Card</x:v>
      </x:c>
      <x:c r="E10" t="str">
        <x:v>lululemon Credit</x:v>
      </x:c>
      <x:c r="F10" t="str">
        <x:v>Credit</x:v>
      </x:c>
      <x:c r="G10" t="str">
        <x:v>Shopping</x:v>
      </x:c>
      <x:c r="H10" t="n">
        <x:v>75</x:v>
      </x:c>
      <x:c r="I10" t="n">
        <x:v>60</x:v>
      </x:c>
      <x:c r="J10" t="str">
        <x:v>Quarterly</x:v>
      </x:c>
      <x:c r="K10" t="str">
        <x:v>Calendar Quarter</x:v>
      </x:c>
      <x:c r="L10" t="str">
        <x:v>End of Quarter</x:v>
      </x:c>
      <x:c r="M10" t="str"/>
      <x:c r="N10" t="n">
        <x:v>10</x:v>
      </x:c>
      <x:c r="O10" t="str">
        <x:v>Amount</x:v>
      </x:c>
      <x:c r="P10" t="str">
        <x:v>Medium</x:v>
      </x:c>
      <x:c r="Q10" t="str">
        <x:v>Yes</x:v>
      </x:c>
      <x:c r="R10" t="str">
        <x:v>Medium</x:v>
      </x:c>
      <x:c r="S10" t="str">
        <x:v>Up to $75/quarter at eligible lululemon stores; enrollment required.</x:v>
      </x:c>
      <x:c r="T10" t="str">
        <x:v>https://www.americanexpress.com/en-us/newsroom/articles/products-and-services/there-s-nothing-like-platinum---american-express-unveils-updated.html</x:v>
      </x:c>
      <x:c r="U10" t="str"/>
    </x:row>
    <x:row r="11">
      <x:c r="A11" t="str">
        <x:v>amex_platinum_p1_hotel_h1</x:v>
      </x:c>
      <x:c r="B11" t="str">
        <x:v>Person 1</x:v>
      </x:c>
      <x:c r="C11" t="str">
        <x:v>amex_platinum_p1</x:v>
      </x:c>
      <x:c r="D11" t="str">
        <x:v>American Express Platinum Card</x:v>
      </x:c>
      <x:c r="E11" t="str">
        <x:v>Hotel Credit H1</x:v>
      </x:c>
      <x:c r="F11" t="str">
        <x:v>Credit</x:v>
      </x:c>
      <x:c r="G11" t="str">
        <x:v>Hotel</x:v>
      </x:c>
      <x:c r="H11" t="n">
        <x:v>300</x:v>
      </x:c>
      <x:c r="I11" t="n">
        <x:v>250</x:v>
      </x:c>
      <x:c r="J11" t="str">
        <x:v>Semiannual</x:v>
      </x:c>
      <x:c r="K11" t="str">
        <x:v>Jan-Jun</x:v>
      </x:c>
      <x:c r="L11" t="str">
        <x:v>June 30</x:v>
      </x:c>
      <x:c r="M11" t="str"/>
      <x:c r="N11" t="n">
        <x:v>30</x:v>
      </x:c>
      <x:c r="O11" t="str">
        <x:v>Amount</x:v>
      </x:c>
      <x:c r="P11" t="str">
        <x:v>High</x:v>
      </x:c>
      <x:c r="Q11" t="str">
        <x:v>Yes</x:v>
      </x:c>
      <x:c r="R11" t="str">
        <x:v>Medium</x:v>
      </x:c>
      <x:c r="S11" t="str">
        <x:v>Up to $300 Jan-Jun on prepaid FHR/The Hotel Collection via Amex Travel.</x:v>
      </x:c>
      <x:c r="T11" t="str">
        <x:v>https://www.americanexpress.com/en-us/travel/benefits/how-to-use-hotel-credit/</x:v>
      </x:c>
      <x:c r="U11" t="str"/>
    </x:row>
    <x:row r="12">
      <x:c r="A12" t="str">
        <x:v>amex_platinum_p1_hotel_h2</x:v>
      </x:c>
      <x:c r="B12" t="str">
        <x:v>Person 1</x:v>
      </x:c>
      <x:c r="C12" t="str">
        <x:v>amex_platinum_p1</x:v>
      </x:c>
      <x:c r="D12" t="str">
        <x:v>American Express Platinum Card</x:v>
      </x:c>
      <x:c r="E12" t="str">
        <x:v>Hotel Credit H2</x:v>
      </x:c>
      <x:c r="F12" t="str">
        <x:v>Credit</x:v>
      </x:c>
      <x:c r="G12" t="str">
        <x:v>Hotel</x:v>
      </x:c>
      <x:c r="H12" t="n">
        <x:v>300</x:v>
      </x:c>
      <x:c r="I12" t="n">
        <x:v>250</x:v>
      </x:c>
      <x:c r="J12" t="str">
        <x:v>Semiannual</x:v>
      </x:c>
      <x:c r="K12" t="str">
        <x:v>Jul-Dec</x:v>
      </x:c>
      <x:c r="L12" t="str">
        <x:v>Dec 31</x:v>
      </x:c>
      <x:c r="M12" t="str"/>
      <x:c r="N12" t="n">
        <x:v>30</x:v>
      </x:c>
      <x:c r="O12" t="str">
        <x:v>Amount</x:v>
      </x:c>
      <x:c r="P12" t="str">
        <x:v>High</x:v>
      </x:c>
      <x:c r="Q12" t="str">
        <x:v>Yes</x:v>
      </x:c>
      <x:c r="R12" t="str">
        <x:v>Medium</x:v>
      </x:c>
      <x:c r="S12" t="str">
        <x:v>Up to $300 Jul-Dec on prepaid FHR/The Hotel Collection via Amex Travel.</x:v>
      </x:c>
      <x:c r="T12" t="str">
        <x:v>https://www.americanexpress.com/en-us/travel/benefits/how-to-use-hotel-credit/</x:v>
      </x:c>
      <x:c r="U12" t="str"/>
    </x:row>
    <x:row r="13">
      <x:c r="A13" t="str">
        <x:v>amex_platinum_p1_airline_incidental</x:v>
      </x:c>
      <x:c r="B13" t="str">
        <x:v>Person 1</x:v>
      </x:c>
      <x:c r="C13" t="str">
        <x:v>amex_platinum_p1</x:v>
      </x:c>
      <x:c r="D13" t="str">
        <x:v>American Express Platinum Card</x:v>
      </x:c>
      <x:c r="E13" t="str">
        <x:v>Airline Fee Credit</x:v>
      </x:c>
      <x:c r="F13" t="str">
        <x:v>Reimbursement</x:v>
      </x:c>
      <x:c r="G13" t="str">
        <x:v>Airline</x:v>
      </x:c>
      <x:c r="H13" t="n">
        <x:v>200</x:v>
      </x:c>
      <x:c r="I13" t="n">
        <x:v>120</x:v>
      </x:c>
      <x:c r="J13" t="str">
        <x:v>Annual</x:v>
      </x:c>
      <x:c r="K13" t="str">
        <x:v>Calendar Year</x:v>
      </x:c>
      <x:c r="L13" t="str">
        <x:v>Dec 31</x:v>
      </x:c>
      <x:c r="M13" t="str"/>
      <x:c r="N13" t="n">
        <x:v>30</x:v>
      </x:c>
      <x:c r="O13" t="str">
        <x:v>Amount</x:v>
      </x:c>
      <x:c r="P13" t="str">
        <x:v>Medium</x:v>
      </x:c>
      <x:c r="Q13" t="str">
        <x:v>Yes</x:v>
      </x:c>
      <x:c r="R13" t="str">
        <x:v>Hard</x:v>
      </x:c>
      <x:c r="S13" t="str">
        <x:v>Up to $200/calendar year for airline incidental fees; enrollment required; choose airline.</x:v>
      </x:c>
      <x:c r="T13" t="str">
        <x:v>https://global.americanexpress.com/card-benefits/view-all/platinum</x:v>
      </x:c>
      <x:c r="U13" t="str"/>
    </x:row>
    <x:row r="14">
      <x:c r="A14" t="str">
        <x:v>amex_platinum_p1_walmart_plus</x:v>
      </x:c>
      <x:c r="B14" t="str">
        <x:v>Person 1</x:v>
      </x:c>
      <x:c r="C14" t="str">
        <x:v>amex_platinum_p1</x:v>
      </x:c>
      <x:c r="D14" t="str">
        <x:v>American Express Platinum Card</x:v>
      </x:c>
      <x:c r="E14" t="str">
        <x:v>Walmart+ Monthly Credit</x:v>
      </x:c>
      <x:c r="F14" t="str">
        <x:v>Subscription</x:v>
      </x:c>
      <x:c r="G14" t="str">
        <x:v>Other</x:v>
      </x:c>
      <x:c r="H14" t="n">
        <x:v>12.95</x:v>
      </x:c>
      <x:c r="I14" t="n">
        <x:v>8</x:v>
      </x:c>
      <x:c r="J14" t="str">
        <x:v>Monthly</x:v>
      </x:c>
      <x:c r="K14" t="str">
        <x:v>Calendar Month</x:v>
      </x:c>
      <x:c r="L14" t="str">
        <x:v>End of Month</x:v>
      </x:c>
      <x:c r="M14" t="str"/>
      <x:c r="N14" t="n">
        <x:v>5</x:v>
      </x:c>
      <x:c r="O14" t="str">
        <x:v>Amount</x:v>
      </x:c>
      <x:c r="P14" t="str">
        <x:v>Low</x:v>
      </x:c>
      <x:c r="Q14" t="str">
        <x:v>Yes</x:v>
      </x:c>
      <x:c r="R14" t="str">
        <x:v>Easy</x:v>
      </x:c>
      <x:c r="S14" t="str">
        <x:v>Monthly Walmart+ statement credit; enrollment required.</x:v>
      </x:c>
      <x:c r="T14" t="str">
        <x:v>https://global.americanexpress.com/card-benefits/view-all/platinum</x:v>
      </x:c>
      <x:c r="U14" t="str"/>
    </x:row>
    <x:row r="15">
      <x:c r="A15" t="str">
        <x:v>amex_platinum_p1_clear_plus</x:v>
      </x:c>
      <x:c r="B15" t="str">
        <x:v>Person 1</x:v>
      </x:c>
      <x:c r="C15" t="str">
        <x:v>amex_platinum_p1</x:v>
      </x:c>
      <x:c r="D15" t="str">
        <x:v>American Express Platinum Card</x:v>
      </x:c>
      <x:c r="E15" t="str">
        <x:v>CLEAR+ Credit</x:v>
      </x:c>
      <x:c r="F15" t="str">
        <x:v>Reimbursement</x:v>
      </x:c>
      <x:c r="G15" t="str">
        <x:v>Travel</x:v>
      </x:c>
      <x:c r="H15" t="n">
        <x:v>209</x:v>
      </x:c>
      <x:c r="I15" t="n">
        <x:v>150</x:v>
      </x:c>
      <x:c r="J15" t="str">
        <x:v>Annual</x:v>
      </x:c>
      <x:c r="K15" t="str">
        <x:v>Calendar Year</x:v>
      </x:c>
      <x:c r="L15" t="str">
        <x:v>Dec 31</x:v>
      </x:c>
      <x:c r="M15" t="str"/>
      <x:c r="N15" t="n">
        <x:v>30</x:v>
      </x:c>
      <x:c r="O15" t="str">
        <x:v>Amount</x:v>
      </x:c>
      <x:c r="P15" t="str">
        <x:v>Medium</x:v>
      </x:c>
      <x:c r="Q15" t="str">
        <x:v>Yes</x:v>
      </x:c>
      <x:c r="R15" t="str">
        <x:v>Medium</x:v>
      </x:c>
      <x:c r="S15" t="str">
        <x:v>Up to $209/year for CLEAR+ membership.</x:v>
      </x:c>
      <x:c r="T15" t="str">
        <x:v>https://global.americanexpress.com/card-benefits/view-all/platinum</x:v>
      </x:c>
      <x:c r="U15" t="str"/>
    </x:row>
    <x:row r="16">
      <x:c r="A16" t="str">
        <x:v>amex_platinum_p1_equinox</x:v>
      </x:c>
      <x:c r="B16" t="str">
        <x:v>Person 1</x:v>
      </x:c>
      <x:c r="C16" t="str">
        <x:v>amex_platinum_p1</x:v>
      </x:c>
      <x:c r="D16" t="str">
        <x:v>American Express Platinum Card</x:v>
      </x:c>
      <x:c r="E16" t="str">
        <x:v>Equinox Credit</x:v>
      </x:c>
      <x:c r="F16" t="str">
        <x:v>Credit</x:v>
      </x:c>
      <x:c r="G16" t="str">
        <x:v>Other</x:v>
      </x:c>
      <x:c r="H16" t="n">
        <x:v>300</x:v>
      </x:c>
      <x:c r="I16" t="n">
        <x:v>0</x:v>
      </x:c>
      <x:c r="J16" t="str">
        <x:v>Annual</x:v>
      </x:c>
      <x:c r="K16" t="str">
        <x:v>Calendar Year</x:v>
      </x:c>
      <x:c r="L16" t="str">
        <x:v>Dec 31</x:v>
      </x:c>
      <x:c r="M16" t="str"/>
      <x:c r="N16" t="n">
        <x:v>30</x:v>
      </x:c>
      <x:c r="O16" t="str">
        <x:v>Amount</x:v>
      </x:c>
      <x:c r="P16" t="str">
        <x:v>Low</x:v>
      </x:c>
      <x:c r="Q16" t="str">
        <x:v>No</x:v>
      </x:c>
      <x:c r="R16" t="str">
        <x:v>Hard</x:v>
      </x:c>
      <x:c r="S16" t="str">
        <x:v>Only valuable if you use eligible Equinox membership / app; set Include in Alert to Yes if relevant.</x:v>
      </x:c>
      <x:c r="T16" t="str">
        <x:v>https://global.americanexpress.com/card-benefits/view-all/platinum</x:v>
      </x:c>
      <x:c r="U16" t="str"/>
    </x:row>
    <x:row r="17">
      <x:c r="A17" t="str">
        <x:v>amex_platinum_p1_oura</x:v>
      </x:c>
      <x:c r="B17" t="str">
        <x:v>Person 1</x:v>
      </x:c>
      <x:c r="C17" t="str">
        <x:v>amex_platinum_p1</x:v>
      </x:c>
      <x:c r="D17" t="str">
        <x:v>American Express Platinum Card</x:v>
      </x:c>
      <x:c r="E17" t="str">
        <x:v>Oura Ring Credit</x:v>
      </x:c>
      <x:c r="F17" t="str">
        <x:v>Credit</x:v>
      </x:c>
      <x:c r="G17" t="str">
        <x:v>Shopping</x:v>
      </x:c>
      <x:c r="H17" t="n">
        <x:v>200</x:v>
      </x:c>
      <x:c r="I17" t="n">
        <x:v>0</x:v>
      </x:c>
      <x:c r="J17" t="str">
        <x:v>Annual</x:v>
      </x:c>
      <x:c r="K17" t="str">
        <x:v>Calendar Year</x:v>
      </x:c>
      <x:c r="L17" t="str">
        <x:v>Dec 31</x:v>
      </x:c>
      <x:c r="M17" t="str"/>
      <x:c r="N17" t="n">
        <x:v>30</x:v>
      </x:c>
      <x:c r="O17" t="str">
        <x:v>Amount</x:v>
      </x:c>
      <x:c r="P17" t="str">
        <x:v>Low</x:v>
      </x:c>
      <x:c r="Q17" t="str">
        <x:v>No</x:v>
      </x:c>
      <x:c r="R17" t="str">
        <x:v>Hard</x:v>
      </x:c>
      <x:c r="S17" t="str">
        <x:v>Track only if you plan to use Oura credit.</x:v>
      </x:c>
      <x:c r="T17" t="str">
        <x:v>https://www.americanexpress.com/us/credit-cards/card/platinum/</x:v>
      </x:c>
      <x:c r="U17" t="str"/>
    </x:row>
    <x:row r="18">
      <x:c r="A18" t="str">
        <x:v>amex_platinum_p1_saks_final_h1</x:v>
      </x:c>
      <x:c r="B18" t="str">
        <x:v>Person 1</x:v>
      </x:c>
      <x:c r="C18" t="str">
        <x:v>amex_platinum_p1</x:v>
      </x:c>
      <x:c r="D18" t="str">
        <x:v>American Express Platinum Card</x:v>
      </x:c>
      <x:c r="E18" t="str">
        <x:v>Saks Credit Final H1</x:v>
      </x:c>
      <x:c r="F18" t="str">
        <x:v>Credit</x:v>
      </x:c>
      <x:c r="G18" t="str">
        <x:v>Shopping</x:v>
      </x:c>
      <x:c r="H18" t="n">
        <x:v>50</x:v>
      </x:c>
      <x:c r="I18" t="n">
        <x:v>35</x:v>
      </x:c>
      <x:c r="J18" t="str">
        <x:v>Semiannual</x:v>
      </x:c>
      <x:c r="K18" t="str">
        <x:v>Jan-Jun</x:v>
      </x:c>
      <x:c r="L18" t="str">
        <x:v>June 30</x:v>
      </x:c>
      <x:c r="M18" t="str"/>
      <x:c r="N18" t="n">
        <x:v>14</x:v>
      </x:c>
      <x:c r="O18" t="str">
        <x:v>Amount</x:v>
      </x:c>
      <x:c r="P18" t="str">
        <x:v>Medium</x:v>
      </x:c>
      <x:c r="Q18" t="str">
        <x:v>Yes</x:v>
      </x:c>
      <x:c r="R18" t="str">
        <x:v>Medium</x:v>
      </x:c>
      <x:c r="S18" t="str">
        <x:v>Saks credit expected to end July 1, 2026; verify eligibility.</x:v>
      </x:c>
      <x:c r="T18" t="str">
        <x:v>https://www.nerdwallet.com/travel/news/amex-platinum-saks-credit</x:v>
      </x:c>
      <x:c r="U18" t="str">
        <x:v>Verify if current terms apply</x:v>
      </x:c>
    </x:row>
    <x:row r="19">
      <x:c r="A19" t="str">
        <x:v>amex_platinum_p2_uber_monthly</x:v>
      </x:c>
      <x:c r="B19" t="str">
        <x:v>Person 2</x:v>
      </x:c>
      <x:c r="C19" t="str">
        <x:v>amex_platinum_p2</x:v>
      </x:c>
      <x:c r="D19" t="str">
        <x:v>American Express Platinum Card</x:v>
      </x:c>
      <x:c r="E19" t="str">
        <x:v>Uber Cash</x:v>
      </x:c>
      <x:c r="F19" t="str">
        <x:v>Credit</x:v>
      </x:c>
      <x:c r="G19" t="str">
        <x:v>Rideshare</x:v>
      </x:c>
      <x:c r="H19" t="n">
        <x:v>15</x:v>
      </x:c>
      <x:c r="I19" t="n">
        <x:v>15</x:v>
      </x:c>
      <x:c r="J19" t="str">
        <x:v>Monthly</x:v>
      </x:c>
      <x:c r="K19" t="str">
        <x:v>Calendar Month</x:v>
      </x:c>
      <x:c r="L19" t="str">
        <x:v>End of Month</x:v>
      </x:c>
      <x:c r="M19" t="str"/>
      <x:c r="N19" t="n">
        <x:v>5</x:v>
      </x:c>
      <x:c r="O19" t="str">
        <x:v>Amount</x:v>
      </x:c>
      <x:c r="P19" t="str">
        <x:v>High</x:v>
      </x:c>
      <x:c r="Q19" t="str">
        <x:v>Yes</x:v>
      </x:c>
      <x:c r="R19" t="str">
        <x:v>Easy</x:v>
      </x:c>
      <x:c r="S19" t="str">
        <x:v>$15 monthly Uber Cash; December typically has bonus cash.</x:v>
      </x:c>
      <x:c r="T19" t="str">
        <x:v>https://www.americanexpress.com/en-us/account/get-started/platinum/benefits-overview</x:v>
      </x:c>
      <x:c r="U19" t="str"/>
    </x:row>
    <x:row r="20">
      <x:c r="A20" t="str">
        <x:v>amex_platinum_p2_digital_entertainment</x:v>
      </x:c>
      <x:c r="B20" t="str">
        <x:v>Person 2</x:v>
      </x:c>
      <x:c r="C20" t="str">
        <x:v>amex_platinum_p2</x:v>
      </x:c>
      <x:c r="D20" t="str">
        <x:v>American Express Platinum Card</x:v>
      </x:c>
      <x:c r="E20" t="str">
        <x:v>Digital Entertainment Credit</x:v>
      </x:c>
      <x:c r="F20" t="str">
        <x:v>Credit</x:v>
      </x:c>
      <x:c r="G20" t="str">
        <x:v>Entertainment</x:v>
      </x:c>
      <x:c r="H20" t="n">
        <x:v>25</x:v>
      </x:c>
      <x:c r="I20" t="n">
        <x:v>25</x:v>
      </x:c>
      <x:c r="J20" t="str">
        <x:v>Monthly</x:v>
      </x:c>
      <x:c r="K20" t="str">
        <x:v>Calendar Month</x:v>
      </x:c>
      <x:c r="L20" t="str">
        <x:v>End of Month</x:v>
      </x:c>
      <x:c r="M20" t="str"/>
      <x:c r="N20" t="n">
        <x:v>5</x:v>
      </x:c>
      <x:c r="O20" t="str">
        <x:v>Amount</x:v>
      </x:c>
      <x:c r="P20" t="str">
        <x:v>High</x:v>
      </x:c>
      <x:c r="Q20" t="str">
        <x:v>Yes</x:v>
      </x:c>
      <x:c r="R20" t="str">
        <x:v>Easy</x:v>
      </x:c>
      <x:c r="S20" t="str">
        <x:v>Up to $25/month; enrollment required.</x:v>
      </x:c>
      <x:c r="T20" t="str">
        <x:v>https://www.americanexpress.com/us/credit-cards/card/platinum/</x:v>
      </x:c>
      <x:c r="U20" t="str"/>
    </x:row>
    <x:row r="21">
      <x:c r="A21" t="str">
        <x:v>amex_platinum_p2_resy_quarterly</x:v>
      </x:c>
      <x:c r="B21" t="str">
        <x:v>Person 2</x:v>
      </x:c>
      <x:c r="C21" t="str">
        <x:v>amex_platinum_p2</x:v>
      </x:c>
      <x:c r="D21" t="str">
        <x:v>American Express Platinum Card</x:v>
      </x:c>
      <x:c r="E21" t="str">
        <x:v>Resy Credit</x:v>
      </x:c>
      <x:c r="F21" t="str">
        <x:v>Credit</x:v>
      </x:c>
      <x:c r="G21" t="str">
        <x:v>Dining</x:v>
      </x:c>
      <x:c r="H21" t="n">
        <x:v>100</x:v>
      </x:c>
      <x:c r="I21" t="n">
        <x:v>100</x:v>
      </x:c>
      <x:c r="J21" t="str">
        <x:v>Quarterly</x:v>
      </x:c>
      <x:c r="K21" t="str">
        <x:v>Calendar Quarter</x:v>
      </x:c>
      <x:c r="L21" t="str">
        <x:v>End of Quarter</x:v>
      </x:c>
      <x:c r="M21" t="str"/>
      <x:c r="N21" t="n">
        <x:v>10</x:v>
      </x:c>
      <x:c r="O21" t="str">
        <x:v>Amount</x:v>
      </x:c>
      <x:c r="P21" t="str">
        <x:v>High</x:v>
      </x:c>
      <x:c r="Q21" t="str">
        <x:v>Yes</x:v>
      </x:c>
      <x:c r="R21" t="str">
        <x:v>Medium</x:v>
      </x:c>
      <x:c r="S21" t="str">
        <x:v>Up to $100 per quarter on eligible Resy purchases; enrollment required.</x:v>
      </x:c>
      <x:c r="T21" t="str">
        <x:v>https://global.americanexpress.com/card-benefits/detail/400-resy-credit/platinum</x:v>
      </x:c>
      <x:c r="U21" t="str"/>
    </x:row>
    <x:row r="22">
      <x:c r="A22" t="str">
        <x:v>amex_platinum_p2_lululemon_quarterly</x:v>
      </x:c>
      <x:c r="B22" t="str">
        <x:v>Person 2</x:v>
      </x:c>
      <x:c r="C22" t="str">
        <x:v>amex_platinum_p2</x:v>
      </x:c>
      <x:c r="D22" t="str">
        <x:v>American Express Platinum Card</x:v>
      </x:c>
      <x:c r="E22" t="str">
        <x:v>lululemon Credit</x:v>
      </x:c>
      <x:c r="F22" t="str">
        <x:v>Credit</x:v>
      </x:c>
      <x:c r="G22" t="str">
        <x:v>Shopping</x:v>
      </x:c>
      <x:c r="H22" t="n">
        <x:v>75</x:v>
      </x:c>
      <x:c r="I22" t="n">
        <x:v>60</x:v>
      </x:c>
      <x:c r="J22" t="str">
        <x:v>Quarterly</x:v>
      </x:c>
      <x:c r="K22" t="str">
        <x:v>Calendar Quarter</x:v>
      </x:c>
      <x:c r="L22" t="str">
        <x:v>End of Quarter</x:v>
      </x:c>
      <x:c r="M22" t="str"/>
      <x:c r="N22" t="n">
        <x:v>10</x:v>
      </x:c>
      <x:c r="O22" t="str">
        <x:v>Amount</x:v>
      </x:c>
      <x:c r="P22" t="str">
        <x:v>Medium</x:v>
      </x:c>
      <x:c r="Q22" t="str">
        <x:v>Yes</x:v>
      </x:c>
      <x:c r="R22" t="str">
        <x:v>Medium</x:v>
      </x:c>
      <x:c r="S22" t="str">
        <x:v>Up to $75/quarter at eligible lululemon stores; enrollment required.</x:v>
      </x:c>
      <x:c r="T22" t="str">
        <x:v>https://www.americanexpress.com/en-us/newsroom/articles/products-and-services/there-s-nothing-like-platinum---american-express-unveils-updated.html</x:v>
      </x:c>
      <x:c r="U22" t="str"/>
    </x:row>
    <x:row r="23">
      <x:c r="A23" t="str">
        <x:v>amex_platinum_p2_hotel_h1</x:v>
      </x:c>
      <x:c r="B23" t="str">
        <x:v>Person 2</x:v>
      </x:c>
      <x:c r="C23" t="str">
        <x:v>amex_platinum_p2</x:v>
      </x:c>
      <x:c r="D23" t="str">
        <x:v>American Express Platinum Card</x:v>
      </x:c>
      <x:c r="E23" t="str">
        <x:v>Hotel Credit H1</x:v>
      </x:c>
      <x:c r="F23" t="str">
        <x:v>Credit</x:v>
      </x:c>
      <x:c r="G23" t="str">
        <x:v>Hotel</x:v>
      </x:c>
      <x:c r="H23" t="n">
        <x:v>300</x:v>
      </x:c>
      <x:c r="I23" t="n">
        <x:v>250</x:v>
      </x:c>
      <x:c r="J23" t="str">
        <x:v>Semiannual</x:v>
      </x:c>
      <x:c r="K23" t="str">
        <x:v>Jan-Jun</x:v>
      </x:c>
      <x:c r="L23" t="str">
        <x:v>June 30</x:v>
      </x:c>
      <x:c r="M23" t="str"/>
      <x:c r="N23" t="n">
        <x:v>30</x:v>
      </x:c>
      <x:c r="O23" t="str">
        <x:v>Amount</x:v>
      </x:c>
      <x:c r="P23" t="str">
        <x:v>High</x:v>
      </x:c>
      <x:c r="Q23" t="str">
        <x:v>Yes</x:v>
      </x:c>
      <x:c r="R23" t="str">
        <x:v>Medium</x:v>
      </x:c>
      <x:c r="S23" t="str">
        <x:v>Up to $300 Jan-Jun on prepaid FHR/The Hotel Collection via Amex Travel.</x:v>
      </x:c>
      <x:c r="T23" t="str">
        <x:v>https://www.americanexpress.com/en-us/travel/benefits/how-to-use-hotel-credit/</x:v>
      </x:c>
      <x:c r="U23" t="str"/>
    </x:row>
    <x:row r="24">
      <x:c r="A24" t="str">
        <x:v>amex_platinum_p2_hotel_h2</x:v>
      </x:c>
      <x:c r="B24" t="str">
        <x:v>Person 2</x:v>
      </x:c>
      <x:c r="C24" t="str">
        <x:v>amex_platinum_p2</x:v>
      </x:c>
      <x:c r="D24" t="str">
        <x:v>American Express Platinum Card</x:v>
      </x:c>
      <x:c r="E24" t="str">
        <x:v>Hotel Credit H2</x:v>
      </x:c>
      <x:c r="F24" t="str">
        <x:v>Credit</x:v>
      </x:c>
      <x:c r="G24" t="str">
        <x:v>Hotel</x:v>
      </x:c>
      <x:c r="H24" t="n">
        <x:v>300</x:v>
      </x:c>
      <x:c r="I24" t="n">
        <x:v>250</x:v>
      </x:c>
      <x:c r="J24" t="str">
        <x:v>Semiannual</x:v>
      </x:c>
      <x:c r="K24" t="str">
        <x:v>Jul-Dec</x:v>
      </x:c>
      <x:c r="L24" t="str">
        <x:v>Dec 31</x:v>
      </x:c>
      <x:c r="M24" t="str"/>
      <x:c r="N24" t="n">
        <x:v>30</x:v>
      </x:c>
      <x:c r="O24" t="str">
        <x:v>Amount</x:v>
      </x:c>
      <x:c r="P24" t="str">
        <x:v>High</x:v>
      </x:c>
      <x:c r="Q24" t="str">
        <x:v>Yes</x:v>
      </x:c>
      <x:c r="R24" t="str">
        <x:v>Medium</x:v>
      </x:c>
      <x:c r="S24" t="str">
        <x:v>Up to $300 Jul-Dec on prepaid FHR/The Hotel Collection via Amex Travel.</x:v>
      </x:c>
      <x:c r="T24" t="str">
        <x:v>https://www.americanexpress.com/en-us/travel/benefits/how-to-use-hotel-credit/</x:v>
      </x:c>
      <x:c r="U24" t="str"/>
    </x:row>
    <x:row r="25">
      <x:c r="A25" t="str">
        <x:v>amex_platinum_p2_airline_incidental</x:v>
      </x:c>
      <x:c r="B25" t="str">
        <x:v>Person 2</x:v>
      </x:c>
      <x:c r="C25" t="str">
        <x:v>amex_platinum_p2</x:v>
      </x:c>
      <x:c r="D25" t="str">
        <x:v>American Express Platinum Card</x:v>
      </x:c>
      <x:c r="E25" t="str">
        <x:v>Airline Fee Credit</x:v>
      </x:c>
      <x:c r="F25" t="str">
        <x:v>Reimbursement</x:v>
      </x:c>
      <x:c r="G25" t="str">
        <x:v>Airline</x:v>
      </x:c>
      <x:c r="H25" t="n">
        <x:v>200</x:v>
      </x:c>
      <x:c r="I25" t="n">
        <x:v>120</x:v>
      </x:c>
      <x:c r="J25" t="str">
        <x:v>Annual</x:v>
      </x:c>
      <x:c r="K25" t="str">
        <x:v>Calendar Year</x:v>
      </x:c>
      <x:c r="L25" t="str">
        <x:v>Dec 31</x:v>
      </x:c>
      <x:c r="M25" t="str"/>
      <x:c r="N25" t="n">
        <x:v>30</x:v>
      </x:c>
      <x:c r="O25" t="str">
        <x:v>Amount</x:v>
      </x:c>
      <x:c r="P25" t="str">
        <x:v>Medium</x:v>
      </x:c>
      <x:c r="Q25" t="str">
        <x:v>Yes</x:v>
      </x:c>
      <x:c r="R25" t="str">
        <x:v>Hard</x:v>
      </x:c>
      <x:c r="S25" t="str">
        <x:v>Up to $200/calendar year for airline incidental fees; enrollment required; choose airline.</x:v>
      </x:c>
      <x:c r="T25" t="str">
        <x:v>https://global.americanexpress.com/card-benefits/view-all/platinum</x:v>
      </x:c>
      <x:c r="U25" t="str"/>
    </x:row>
    <x:row r="26">
      <x:c r="A26" t="str">
        <x:v>amex_platinum_p2_walmart_plus</x:v>
      </x:c>
      <x:c r="B26" t="str">
        <x:v>Person 2</x:v>
      </x:c>
      <x:c r="C26" t="str">
        <x:v>amex_platinum_p2</x:v>
      </x:c>
      <x:c r="D26" t="str">
        <x:v>American Express Platinum Card</x:v>
      </x:c>
      <x:c r="E26" t="str">
        <x:v>Walmart+ Monthly Credit</x:v>
      </x:c>
      <x:c r="F26" t="str">
        <x:v>Subscription</x:v>
      </x:c>
      <x:c r="G26" t="str">
        <x:v>Other</x:v>
      </x:c>
      <x:c r="H26" t="n">
        <x:v>12.95</x:v>
      </x:c>
      <x:c r="I26" t="n">
        <x:v>8</x:v>
      </x:c>
      <x:c r="J26" t="str">
        <x:v>Monthly</x:v>
      </x:c>
      <x:c r="K26" t="str">
        <x:v>Calendar Month</x:v>
      </x:c>
      <x:c r="L26" t="str">
        <x:v>End of Month</x:v>
      </x:c>
      <x:c r="M26" t="str"/>
      <x:c r="N26" t="n">
        <x:v>5</x:v>
      </x:c>
      <x:c r="O26" t="str">
        <x:v>Amount</x:v>
      </x:c>
      <x:c r="P26" t="str">
        <x:v>Low</x:v>
      </x:c>
      <x:c r="Q26" t="str">
        <x:v>Yes</x:v>
      </x:c>
      <x:c r="R26" t="str">
        <x:v>Easy</x:v>
      </x:c>
      <x:c r="S26" t="str">
        <x:v>Monthly Walmart+ statement credit; enrollment required.</x:v>
      </x:c>
      <x:c r="T26" t="str">
        <x:v>https://global.americanexpress.com/card-benefits/view-all/platinum</x:v>
      </x:c>
      <x:c r="U26" t="str"/>
    </x:row>
    <x:row r="27">
      <x:c r="A27" t="str">
        <x:v>amex_platinum_p2_clear_plus</x:v>
      </x:c>
      <x:c r="B27" t="str">
        <x:v>Person 2</x:v>
      </x:c>
      <x:c r="C27" t="str">
        <x:v>amex_platinum_p2</x:v>
      </x:c>
      <x:c r="D27" t="str">
        <x:v>American Express Platinum Card</x:v>
      </x:c>
      <x:c r="E27" t="str">
        <x:v>CLEAR+ Credit</x:v>
      </x:c>
      <x:c r="F27" t="str">
        <x:v>Reimbursement</x:v>
      </x:c>
      <x:c r="G27" t="str">
        <x:v>Travel</x:v>
      </x:c>
      <x:c r="H27" t="n">
        <x:v>209</x:v>
      </x:c>
      <x:c r="I27" t="n">
        <x:v>150</x:v>
      </x:c>
      <x:c r="J27" t="str">
        <x:v>Annual</x:v>
      </x:c>
      <x:c r="K27" t="str">
        <x:v>Calendar Year</x:v>
      </x:c>
      <x:c r="L27" t="str">
        <x:v>Dec 31</x:v>
      </x:c>
      <x:c r="M27" t="str"/>
      <x:c r="N27" t="n">
        <x:v>30</x:v>
      </x:c>
      <x:c r="O27" t="str">
        <x:v>Amount</x:v>
      </x:c>
      <x:c r="P27" t="str">
        <x:v>Medium</x:v>
      </x:c>
      <x:c r="Q27" t="str">
        <x:v>Yes</x:v>
      </x:c>
      <x:c r="R27" t="str">
        <x:v>Medium</x:v>
      </x:c>
      <x:c r="S27" t="str">
        <x:v>Up to $209/year for CLEAR+ membership.</x:v>
      </x:c>
      <x:c r="T27" t="str">
        <x:v>https://global.americanexpress.com/card-benefits/view-all/platinum</x:v>
      </x:c>
      <x:c r="U27" t="str"/>
    </x:row>
    <x:row r="28">
      <x:c r="A28" t="str">
        <x:v>amex_platinum_p2_equinox</x:v>
      </x:c>
      <x:c r="B28" t="str">
        <x:v>Person 2</x:v>
      </x:c>
      <x:c r="C28" t="str">
        <x:v>amex_platinum_p2</x:v>
      </x:c>
      <x:c r="D28" t="str">
        <x:v>American Express Platinum Card</x:v>
      </x:c>
      <x:c r="E28" t="str">
        <x:v>Equinox Credit</x:v>
      </x:c>
      <x:c r="F28" t="str">
        <x:v>Credit</x:v>
      </x:c>
      <x:c r="G28" t="str">
        <x:v>Other</x:v>
      </x:c>
      <x:c r="H28" t="n">
        <x:v>300</x:v>
      </x:c>
      <x:c r="I28" t="n">
        <x:v>0</x:v>
      </x:c>
      <x:c r="J28" t="str">
        <x:v>Annual</x:v>
      </x:c>
      <x:c r="K28" t="str">
        <x:v>Calendar Year</x:v>
      </x:c>
      <x:c r="L28" t="str">
        <x:v>Dec 31</x:v>
      </x:c>
      <x:c r="M28" t="str"/>
      <x:c r="N28" t="n">
        <x:v>30</x:v>
      </x:c>
      <x:c r="O28" t="str">
        <x:v>Amount</x:v>
      </x:c>
      <x:c r="P28" t="str">
        <x:v>Low</x:v>
      </x:c>
      <x:c r="Q28" t="str">
        <x:v>No</x:v>
      </x:c>
      <x:c r="R28" t="str">
        <x:v>Hard</x:v>
      </x:c>
      <x:c r="S28" t="str">
        <x:v>Only valuable if you use eligible Equinox membership / app; set Include in Alert to Yes if relevant.</x:v>
      </x:c>
      <x:c r="T28" t="str">
        <x:v>https://global.americanexpress.com/card-benefits/view-all/platinum</x:v>
      </x:c>
      <x:c r="U28" t="str"/>
    </x:row>
    <x:row r="29">
      <x:c r="A29" t="str">
        <x:v>amex_platinum_p2_oura</x:v>
      </x:c>
      <x:c r="B29" t="str">
        <x:v>Person 2</x:v>
      </x:c>
      <x:c r="C29" t="str">
        <x:v>amex_platinum_p2</x:v>
      </x:c>
      <x:c r="D29" t="str">
        <x:v>American Express Platinum Card</x:v>
      </x:c>
      <x:c r="E29" t="str">
        <x:v>Oura Ring Credit</x:v>
      </x:c>
      <x:c r="F29" t="str">
        <x:v>Credit</x:v>
      </x:c>
      <x:c r="G29" t="str">
        <x:v>Shopping</x:v>
      </x:c>
      <x:c r="H29" t="n">
        <x:v>200</x:v>
      </x:c>
      <x:c r="I29" t="n">
        <x:v>0</x:v>
      </x:c>
      <x:c r="J29" t="str">
        <x:v>Annual</x:v>
      </x:c>
      <x:c r="K29" t="str">
        <x:v>Calendar Year</x:v>
      </x:c>
      <x:c r="L29" t="str">
        <x:v>Dec 31</x:v>
      </x:c>
      <x:c r="M29" t="str"/>
      <x:c r="N29" t="n">
        <x:v>30</x:v>
      </x:c>
      <x:c r="O29" t="str">
        <x:v>Amount</x:v>
      </x:c>
      <x:c r="P29" t="str">
        <x:v>Low</x:v>
      </x:c>
      <x:c r="Q29" t="str">
        <x:v>No</x:v>
      </x:c>
      <x:c r="R29" t="str">
        <x:v>Hard</x:v>
      </x:c>
      <x:c r="S29" t="str">
        <x:v>Track only if you plan to use Oura credit.</x:v>
      </x:c>
      <x:c r="T29" t="str">
        <x:v>https://www.americanexpress.com/us/credit-cards/card/platinum/</x:v>
      </x:c>
      <x:c r="U29" t="str"/>
    </x:row>
    <x:row r="30">
      <x:c r="A30" t="str">
        <x:v>amex_platinum_p2_saks_final_h1</x:v>
      </x:c>
      <x:c r="B30" t="str">
        <x:v>Person 2</x:v>
      </x:c>
      <x:c r="C30" t="str">
        <x:v>amex_platinum_p2</x:v>
      </x:c>
      <x:c r="D30" t="str">
        <x:v>American Express Platinum Card</x:v>
      </x:c>
      <x:c r="E30" t="str">
        <x:v>Saks Credit Final H1</x:v>
      </x:c>
      <x:c r="F30" t="str">
        <x:v>Credit</x:v>
      </x:c>
      <x:c r="G30" t="str">
        <x:v>Shopping</x:v>
      </x:c>
      <x:c r="H30" t="n">
        <x:v>50</x:v>
      </x:c>
      <x:c r="I30" t="n">
        <x:v>35</x:v>
      </x:c>
      <x:c r="J30" t="str">
        <x:v>Semiannual</x:v>
      </x:c>
      <x:c r="K30" t="str">
        <x:v>Jan-Jun</x:v>
      </x:c>
      <x:c r="L30" t="str">
        <x:v>June 30</x:v>
      </x:c>
      <x:c r="M30" t="str"/>
      <x:c r="N30" t="n">
        <x:v>14</x:v>
      </x:c>
      <x:c r="O30" t="str">
        <x:v>Amount</x:v>
      </x:c>
      <x:c r="P30" t="str">
        <x:v>Medium</x:v>
      </x:c>
      <x:c r="Q30" t="str">
        <x:v>Yes</x:v>
      </x:c>
      <x:c r="R30" t="str">
        <x:v>Medium</x:v>
      </x:c>
      <x:c r="S30" t="str">
        <x:v>Saks credit expected to end July 1, 2026; verify eligibility.</x:v>
      </x:c>
      <x:c r="T30" t="str">
        <x:v>https://www.nerdwallet.com/travel/news/amex-platinum-saks-credit</x:v>
      </x:c>
      <x:c r="U30" t="str">
        <x:v>Verify if current terms apply</x:v>
      </x:c>
    </x:row>
    <x:row r="31">
      <x:c r="A31" t="str">
        <x:v>chase_sapphire_preferred_p1_hotel_annual</x:v>
      </x:c>
      <x:c r="B31" t="str">
        <x:v>Person 1</x:v>
      </x:c>
      <x:c r="C31" t="str">
        <x:v>chase_sapphire_preferred_p1</x:v>
      </x:c>
      <x:c r="D31" t="str">
        <x:v>Chase Sapphire Preferred</x:v>
      </x:c>
      <x:c r="E31" t="str">
        <x:v>Chase Travel Hotel Credit</x:v>
      </x:c>
      <x:c r="F31" t="str">
        <x:v>Credit</x:v>
      </x:c>
      <x:c r="G31" t="str">
        <x:v>Hotel</x:v>
      </x:c>
      <x:c r="H31" t="n">
        <x:v>50</x:v>
      </x:c>
      <x:c r="I31" t="n">
        <x:v>50</x:v>
      </x:c>
      <x:c r="J31" t="str">
        <x:v>Annual</x:v>
      </x:c>
      <x:c r="K31" t="str">
        <x:v>Cardmember Year</x:v>
      </x:c>
      <x:c r="L31" t="str">
        <x:v>Card Anniversary</x:v>
      </x:c>
      <x:c r="M31" t="str"/>
      <x:c r="N31" t="n">
        <x:v>30</x:v>
      </x:c>
      <x:c r="O31" t="str">
        <x:v>Amount</x:v>
      </x:c>
      <x:c r="P31" t="str">
        <x:v>Medium</x:v>
      </x:c>
      <x:c r="Q31" t="str">
        <x:v>Yes</x:v>
      </x:c>
      <x:c r="R31" t="str">
        <x:v>Medium</x:v>
      </x:c>
      <x:c r="S31" t="str">
        <x:v>Up to $50 each account anniversary year for hotel stays through Chase Travel.</x:v>
      </x:c>
      <x:c r="T31" t="str">
        <x:v>https://account.chase.com/sapphire/preferred/benefits</x:v>
      </x:c>
      <x:c r="U31" t="str"/>
    </x:row>
    <x:row r="32">
      <x:c r="A32" t="str">
        <x:v>chase_sapphire_preferred_p1_dashpass</x:v>
      </x:c>
      <x:c r="B32" t="str">
        <x:v>Person 1</x:v>
      </x:c>
      <x:c r="C32" t="str">
        <x:v>chase_sapphire_preferred_p1</x:v>
      </x:c>
      <x:c r="D32" t="str">
        <x:v>Chase Sapphire Preferred</x:v>
      </x:c>
      <x:c r="E32" t="str">
        <x:v>DashPass Membership</x:v>
      </x:c>
      <x:c r="F32" t="str">
        <x:v>Subscription</x:v>
      </x:c>
      <x:c r="G32" t="str">
        <x:v>Dining</x:v>
      </x:c>
      <x:c r="H32" t="n">
        <x:v>120</x:v>
      </x:c>
      <x:c r="I32" t="n">
        <x:v>0</x:v>
      </x:c>
      <x:c r="J32" t="str">
        <x:v>Annual</x:v>
      </x:c>
      <x:c r="K32" t="str">
        <x:v>Calendar Year</x:v>
      </x:c>
      <x:c r="L32" t="str">
        <x:v>Specific Date</x:v>
      </x:c>
      <x:c r="M32" t="n">
        <x:v>46752</x:v>
      </x:c>
      <x:c r="N32" t="n">
        <x:v>60</x:v>
      </x:c>
      <x:c r="O32" t="str">
        <x:v>Used/Unused</x:v>
      </x:c>
      <x:c r="P32" t="str">
        <x:v>Low</x:v>
      </x:c>
      <x:c r="Q32" t="str">
        <x:v>No</x:v>
      </x:c>
      <x:c r="R32" t="str">
        <x:v>Easy</x:v>
      </x:c>
      <x:c r="S32" t="str">
        <x:v>Activate/track if valuable; not a cash credit.</x:v>
      </x:c>
      <x:c r="T32" t="str">
        <x:v>https://www.chase.com/sapphire-cards/personal/preferred</x:v>
      </x:c>
      <x:c r="U32" t="str"/>
    </x:row>
    <x:row r="33">
      <x:c r="A33" t="str">
        <x:v>chase_sapphire_reserve_p1_travel_annual</x:v>
      </x:c>
      <x:c r="B33" t="str">
        <x:v>Person 1</x:v>
      </x:c>
      <x:c r="C33" t="str">
        <x:v>chase_sapphire_reserve_p1</x:v>
      </x:c>
      <x:c r="D33" t="str">
        <x:v>Chase Sapphire Reserve</x:v>
      </x:c>
      <x:c r="E33" t="str">
        <x:v>Annual Travel Credit</x:v>
      </x:c>
      <x:c r="F33" t="str">
        <x:v>Credit</x:v>
      </x:c>
      <x:c r="G33" t="str">
        <x:v>Travel</x:v>
      </x:c>
      <x:c r="H33" t="n">
        <x:v>300</x:v>
      </x:c>
      <x:c r="I33" t="n">
        <x:v>300</x:v>
      </x:c>
      <x:c r="J33" t="str">
        <x:v>Annual</x:v>
      </x:c>
      <x:c r="K33" t="str">
        <x:v>Cardmember Year</x:v>
      </x:c>
      <x:c r="L33" t="str">
        <x:v>Card Anniversary</x:v>
      </x:c>
      <x:c r="M33" t="str"/>
      <x:c r="N33" t="n">
        <x:v>30</x:v>
      </x:c>
      <x:c r="O33" t="str">
        <x:v>Amount</x:v>
      </x:c>
      <x:c r="P33" t="str">
        <x:v>High</x:v>
      </x:c>
      <x:c r="Q33" t="str">
        <x:v>Yes</x:v>
      </x:c>
      <x:c r="R33" t="str">
        <x:v>Easy</x:v>
      </x:c>
      <x:c r="S33" t="str">
        <x:v>Up to $300 annual travel credit; anniversary-year based. Add open date/renewal to refine.</x:v>
      </x:c>
      <x:c r="T33" t="str">
        <x:v>https://account.chase.com/sapphire/reserve/disclosures</x:v>
      </x:c>
      <x:c r="U33" t="str"/>
    </x:row>
    <x:row r="34">
      <x:c r="A34" t="str">
        <x:v>chase_sapphire_reserve_p1_dining_h1</x:v>
      </x:c>
      <x:c r="B34" t="str">
        <x:v>Person 1</x:v>
      </x:c>
      <x:c r="C34" t="str">
        <x:v>chase_sapphire_reserve_p1</x:v>
      </x:c>
      <x:c r="D34" t="str">
        <x:v>Chase Sapphire Reserve</x:v>
      </x:c>
      <x:c r="E34" t="str">
        <x:v>Sapphire Reserve Dining Credit H1</x:v>
      </x:c>
      <x:c r="F34" t="str">
        <x:v>Credit</x:v>
      </x:c>
      <x:c r="G34" t="str">
        <x:v>Dining</x:v>
      </x:c>
      <x:c r="H34" t="n">
        <x:v>150</x:v>
      </x:c>
      <x:c r="I34" t="n">
        <x:v>120</x:v>
      </x:c>
      <x:c r="J34" t="str">
        <x:v>Semiannual</x:v>
      </x:c>
      <x:c r="K34" t="str">
        <x:v>Jan-Jun</x:v>
      </x:c>
      <x:c r="L34" t="str">
        <x:v>June 30</x:v>
      </x:c>
      <x:c r="M34" t="str"/>
      <x:c r="N34" t="n">
        <x:v>14</x:v>
      </x:c>
      <x:c r="O34" t="str">
        <x:v>Amount</x:v>
      </x:c>
      <x:c r="P34" t="str">
        <x:v>High</x:v>
      </x:c>
      <x:c r="Q34" t="str">
        <x:v>Yes</x:v>
      </x:c>
      <x:c r="R34" t="str">
        <x:v>Medium</x:v>
      </x:c>
      <x:c r="S34" t="str">
        <x:v>Up to $150 Jan-Jun at Sapphire Reserve Exclusive Tables restaurants.</x:v>
      </x:c>
      <x:c r="T34" t="str">
        <x:v>https://account.chase.com/sapphire/reserve/benefits</x:v>
      </x:c>
      <x:c r="U34" t="str"/>
    </x:row>
    <x:row r="35">
      <x:c r="A35" t="str">
        <x:v>chase_sapphire_reserve_p1_dining_h2</x:v>
      </x:c>
      <x:c r="B35" t="str">
        <x:v>Person 1</x:v>
      </x:c>
      <x:c r="C35" t="str">
        <x:v>chase_sapphire_reserve_p1</x:v>
      </x:c>
      <x:c r="D35" t="str">
        <x:v>Chase Sapphire Reserve</x:v>
      </x:c>
      <x:c r="E35" t="str">
        <x:v>Sapphire Reserve Dining Credit H2</x:v>
      </x:c>
      <x:c r="F35" t="str">
        <x:v>Credit</x:v>
      </x:c>
      <x:c r="G35" t="str">
        <x:v>Dining</x:v>
      </x:c>
      <x:c r="H35" t="n">
        <x:v>150</x:v>
      </x:c>
      <x:c r="I35" t="n">
        <x:v>120</x:v>
      </x:c>
      <x:c r="J35" t="str">
        <x:v>Semiannual</x:v>
      </x:c>
      <x:c r="K35" t="str">
        <x:v>Jul-Dec</x:v>
      </x:c>
      <x:c r="L35" t="str">
        <x:v>Dec 31</x:v>
      </x:c>
      <x:c r="M35" t="str"/>
      <x:c r="N35" t="n">
        <x:v>14</x:v>
      </x:c>
      <x:c r="O35" t="str">
        <x:v>Amount</x:v>
      </x:c>
      <x:c r="P35" t="str">
        <x:v>High</x:v>
      </x:c>
      <x:c r="Q35" t="str">
        <x:v>Yes</x:v>
      </x:c>
      <x:c r="R35" t="str">
        <x:v>Medium</x:v>
      </x:c>
      <x:c r="S35" t="str">
        <x:v>Up to $150 Jul-Dec at Sapphire Reserve Exclusive Tables restaurants.</x:v>
      </x:c>
      <x:c r="T35" t="str">
        <x:v>https://account.chase.com/sapphire/reserve/benefits</x:v>
      </x:c>
      <x:c r="U35" t="str"/>
    </x:row>
    <x:row r="36">
      <x:c r="A36" t="str">
        <x:v>chase_sapphire_reserve_p1_stubhub_h1</x:v>
      </x:c>
      <x:c r="B36" t="str">
        <x:v>Person 1</x:v>
      </x:c>
      <x:c r="C36" t="str">
        <x:v>chase_sapphire_reserve_p1</x:v>
      </x:c>
      <x:c r="D36" t="str">
        <x:v>Chase Sapphire Reserve</x:v>
      </x:c>
      <x:c r="E36" t="str">
        <x:v>StubHub / viagogo Credit H1</x:v>
      </x:c>
      <x:c r="F36" t="str">
        <x:v>Credit</x:v>
      </x:c>
      <x:c r="G36" t="str">
        <x:v>Entertainment</x:v>
      </x:c>
      <x:c r="H36" t="n">
        <x:v>150</x:v>
      </x:c>
      <x:c r="I36" t="n">
        <x:v>100</x:v>
      </x:c>
      <x:c r="J36" t="str">
        <x:v>Semiannual</x:v>
      </x:c>
      <x:c r="K36" t="str">
        <x:v>Jan-Jun</x:v>
      </x:c>
      <x:c r="L36" t="str">
        <x:v>June 30</x:v>
      </x:c>
      <x:c r="M36" t="str"/>
      <x:c r="N36" t="n">
        <x:v>14</x:v>
      </x:c>
      <x:c r="O36" t="str">
        <x:v>Amount</x:v>
      </x:c>
      <x:c r="P36" t="str">
        <x:v>Medium</x:v>
      </x:c>
      <x:c r="Q36" t="str">
        <x:v>Yes</x:v>
      </x:c>
      <x:c r="R36" t="str">
        <x:v>Medium</x:v>
      </x:c>
      <x:c r="S36" t="str">
        <x:v>Up to $150 Jan-Jun; activation required.</x:v>
      </x:c>
      <x:c r="T36" t="str">
        <x:v>https://account.chase.com/sapphire/reserve/benefits</x:v>
      </x:c>
      <x:c r="U36" t="str"/>
    </x:row>
    <x:row r="37">
      <x:c r="A37" t="str">
        <x:v>chase_sapphire_reserve_p1_stubhub_h2</x:v>
      </x:c>
      <x:c r="B37" t="str">
        <x:v>Person 1</x:v>
      </x:c>
      <x:c r="C37" t="str">
        <x:v>chase_sapphire_reserve_p1</x:v>
      </x:c>
      <x:c r="D37" t="str">
        <x:v>Chase Sapphire Reserve</x:v>
      </x:c>
      <x:c r="E37" t="str">
        <x:v>StubHub / viagogo Credit H2</x:v>
      </x:c>
      <x:c r="F37" t="str">
        <x:v>Credit</x:v>
      </x:c>
      <x:c r="G37" t="str">
        <x:v>Entertainment</x:v>
      </x:c>
      <x:c r="H37" t="n">
        <x:v>150</x:v>
      </x:c>
      <x:c r="I37" t="n">
        <x:v>100</x:v>
      </x:c>
      <x:c r="J37" t="str">
        <x:v>Semiannual</x:v>
      </x:c>
      <x:c r="K37" t="str">
        <x:v>Jul-Dec</x:v>
      </x:c>
      <x:c r="L37" t="str">
        <x:v>Dec 31</x:v>
      </x:c>
      <x:c r="M37" t="str"/>
      <x:c r="N37" t="n">
        <x:v>14</x:v>
      </x:c>
      <x:c r="O37" t="str">
        <x:v>Amount</x:v>
      </x:c>
      <x:c r="P37" t="str">
        <x:v>Medium</x:v>
      </x:c>
      <x:c r="Q37" t="str">
        <x:v>Yes</x:v>
      </x:c>
      <x:c r="R37" t="str">
        <x:v>Medium</x:v>
      </x:c>
      <x:c r="S37" t="str">
        <x:v>Up to $150 Jul-Dec; activation required.</x:v>
      </x:c>
      <x:c r="T37" t="str">
        <x:v>https://account.chase.com/sapphire/reserve/benefits</x:v>
      </x:c>
      <x:c r="U37" t="str"/>
    </x:row>
    <x:row r="38">
      <x:c r="A38" t="str">
        <x:v>chase_sapphire_reserve_p1_lyft_monthly</x:v>
      </x:c>
      <x:c r="B38" t="str">
        <x:v>Person 1</x:v>
      </x:c>
      <x:c r="C38" t="str">
        <x:v>chase_sapphire_reserve_p1</x:v>
      </x:c>
      <x:c r="D38" t="str">
        <x:v>Chase Sapphire Reserve</x:v>
      </x:c>
      <x:c r="E38" t="str">
        <x:v>Lyft Monthly Credit</x:v>
      </x:c>
      <x:c r="F38" t="str">
        <x:v>Credit</x:v>
      </x:c>
      <x:c r="G38" t="str">
        <x:v>Rideshare</x:v>
      </x:c>
      <x:c r="H38" t="n">
        <x:v>10</x:v>
      </x:c>
      <x:c r="I38" t="n">
        <x:v>10</x:v>
      </x:c>
      <x:c r="J38" t="str">
        <x:v>Monthly</x:v>
      </x:c>
      <x:c r="K38" t="str">
        <x:v>Calendar Month</x:v>
      </x:c>
      <x:c r="L38" t="str">
        <x:v>End of Month</x:v>
      </x:c>
      <x:c r="M38" t="str"/>
      <x:c r="N38" t="n">
        <x:v>5</x:v>
      </x:c>
      <x:c r="O38" t="str">
        <x:v>Amount</x:v>
      </x:c>
      <x:c r="P38" t="str">
        <x:v>Medium</x:v>
      </x:c>
      <x:c r="Q38" t="str">
        <x:v>Yes</x:v>
      </x:c>
      <x:c r="R38" t="str">
        <x:v>Easy</x:v>
      </x:c>
      <x:c r="S38" t="str">
        <x:v>Up to $10/month Lyft credit through 9/30/2027.</x:v>
      </x:c>
      <x:c r="T38" t="str">
        <x:v>https://account.chase.com/sapphire/reserve/disclosures</x:v>
      </x:c>
      <x:c r="U38" t="str"/>
    </x:row>
    <x:row r="39">
      <x:c r="A39" t="str">
        <x:v>chase_sapphire_reserve_p1_peloton_monthly</x:v>
      </x:c>
      <x:c r="B39" t="str">
        <x:v>Person 1</x:v>
      </x:c>
      <x:c r="C39" t="str">
        <x:v>chase_sapphire_reserve_p1</x:v>
      </x:c>
      <x:c r="D39" t="str">
        <x:v>Chase Sapphire Reserve</x:v>
      </x:c>
      <x:c r="E39" t="str">
        <x:v>Peloton Monthly Credit</x:v>
      </x:c>
      <x:c r="F39" t="str">
        <x:v>Credit</x:v>
      </x:c>
      <x:c r="G39" t="str">
        <x:v>Other</x:v>
      </x:c>
      <x:c r="H39" t="n">
        <x:v>10</x:v>
      </x:c>
      <x:c r="I39" t="n">
        <x:v>0</x:v>
      </x:c>
      <x:c r="J39" t="str">
        <x:v>Monthly</x:v>
      </x:c>
      <x:c r="K39" t="str">
        <x:v>Calendar Month</x:v>
      </x:c>
      <x:c r="L39" t="str">
        <x:v>End of Month</x:v>
      </x:c>
      <x:c r="M39" t="str"/>
      <x:c r="N39" t="n">
        <x:v>5</x:v>
      </x:c>
      <x:c r="O39" t="str">
        <x:v>Amount</x:v>
      </x:c>
      <x:c r="P39" t="str">
        <x:v>Low</x:v>
      </x:c>
      <x:c r="Q39" t="str">
        <x:v>No</x:v>
      </x:c>
      <x:c r="R39" t="str">
        <x:v>Hard</x:v>
      </x:c>
      <x:c r="S39" t="str">
        <x:v>Up to $10/month Peloton membership credit through 12/31/2027; turn on alert if relevant.</x:v>
      </x:c>
      <x:c r="T39" t="str">
        <x:v>https://account.chase.com/sapphire/reserve/disclosures</x:v>
      </x:c>
      <x:c r="U39" t="str"/>
    </x:row>
    <x:row r="40">
      <x:c r="A40" t="str">
        <x:v>chase_sapphire_reserve_p1_doordash_monthly</x:v>
      </x:c>
      <x:c r="B40" t="str">
        <x:v>Person 1</x:v>
      </x:c>
      <x:c r="C40" t="str">
        <x:v>chase_sapphire_reserve_p1</x:v>
      </x:c>
      <x:c r="D40" t="str">
        <x:v>Chase Sapphire Reserve</x:v>
      </x:c>
      <x:c r="E40" t="str">
        <x:v>DoorDash Promos</x:v>
      </x:c>
      <x:c r="F40" t="str">
        <x:v>Credit</x:v>
      </x:c>
      <x:c r="G40" t="str">
        <x:v>Dining</x:v>
      </x:c>
      <x:c r="H40" t="n">
        <x:v>25</x:v>
      </x:c>
      <x:c r="I40" t="n">
        <x:v>20</x:v>
      </x:c>
      <x:c r="J40" t="str">
        <x:v>Monthly</x:v>
      </x:c>
      <x:c r="K40" t="str">
        <x:v>Calendar Month</x:v>
      </x:c>
      <x:c r="L40" t="str">
        <x:v>End of Month</x:v>
      </x:c>
      <x:c r="M40" t="str"/>
      <x:c r="N40" t="n">
        <x:v>5</x:v>
      </x:c>
      <x:c r="O40" t="str">
        <x:v>Amount</x:v>
      </x:c>
      <x:c r="P40" t="str">
        <x:v>High</x:v>
      </x:c>
      <x:c r="Q40" t="str">
        <x:v>Yes</x:v>
      </x:c>
      <x:c r="R40" t="str">
        <x:v>Medium</x:v>
      </x:c>
      <x:c r="S40" t="str">
        <x:v>Chase advertises up to $300 in DoorDash promos annually; verify monthly split in app.</x:v>
      </x:c>
      <x:c r="T40" t="str">
        <x:v>https://creditcards.chase.com/rewards-credit-cards/sapphire/reserve</x:v>
      </x:c>
      <x:c r="U40" t="str">
        <x:v>Verify current monthly split in DoorDash</x:v>
      </x:c>
    </x:row>
    <x:row r="41">
      <x:c r="A41" t="str">
        <x:v>chase_sapphire_reserve_p1_the_edit_annual</x:v>
      </x:c>
      <x:c r="B41" t="str">
        <x:v>Person 1</x:v>
      </x:c>
      <x:c r="C41" t="str">
        <x:v>chase_sapphire_reserve_p1</x:v>
      </x:c>
      <x:c r="D41" t="str">
        <x:v>Chase Sapphire Reserve</x:v>
      </x:c>
      <x:c r="E41" t="str">
        <x:v>The Edit Hotel Credit</x:v>
      </x:c>
      <x:c r="F41" t="str">
        <x:v>Credit</x:v>
      </x:c>
      <x:c r="G41" t="str">
        <x:v>Hotel</x:v>
      </x:c>
      <x:c r="H41" t="n">
        <x:v>500</x:v>
      </x:c>
      <x:c r="I41" t="n">
        <x:v>250</x:v>
      </x:c>
      <x:c r="J41" t="str">
        <x:v>Annual</x:v>
      </x:c>
      <x:c r="K41" t="str">
        <x:v>Calendar Year</x:v>
      </x:c>
      <x:c r="L41" t="str">
        <x:v>Dec 31</x:v>
      </x:c>
      <x:c r="M41" t="str"/>
      <x:c r="N41" t="n">
        <x:v>30</x:v>
      </x:c>
      <x:c r="O41" t="str">
        <x:v>Amount</x:v>
      </x:c>
      <x:c r="P41" t="str">
        <x:v>Medium</x:v>
      </x:c>
      <x:c r="Q41" t="str">
        <x:v>Yes</x:v>
      </x:c>
      <x:c r="R41" t="str">
        <x:v>Hard</x:v>
      </x:c>
      <x:c r="S41" t="str">
        <x:v>Up to $250 per prepaid booking, up to $500 annually; two-night minimum.</x:v>
      </x:c>
      <x:c r="T41" t="str">
        <x:v>https://creditcards.chase.com/rewards-credit-cards/sapphire/reserve</x:v>
      </x:c>
      <x:c r="U41" t="str"/>
    </x:row>
    <x:row r="42">
      <x:c r="A42" t="str">
        <x:v>chase_sapphire_reserve_p1_select_hotel_2026</x:v>
      </x:c>
      <x:c r="B42" t="str">
        <x:v>Person 1</x:v>
      </x:c>
      <x:c r="C42" t="str">
        <x:v>chase_sapphire_reserve_p1</x:v>
      </x:c>
      <x:c r="D42" t="str">
        <x:v>Chase Sapphire Reserve</x:v>
      </x:c>
      <x:c r="E42" t="str">
        <x:v>2026 Select Chase Travel Hotel Credit</x:v>
      </x:c>
      <x:c r="F42" t="str">
        <x:v>Credit</x:v>
      </x:c>
      <x:c r="G42" t="str">
        <x:v>Hotel</x:v>
      </x:c>
      <x:c r="H42" t="n">
        <x:v>250</x:v>
      </x:c>
      <x:c r="I42" t="n">
        <x:v>150</x:v>
      </x:c>
      <x:c r="J42" t="str">
        <x:v>One-time</x:v>
      </x:c>
      <x:c r="K42" t="str">
        <x:v>Specific Date Range</x:v>
      </x:c>
      <x:c r="L42" t="str">
        <x:v>Specific Date</x:v>
      </x:c>
      <x:c r="M42" t="n">
        <x:v>46387</x:v>
      </x:c>
      <x:c r="N42" t="n">
        <x:v>30</x:v>
      </x:c>
      <x:c r="O42" t="str">
        <x:v>Amount</x:v>
      </x:c>
      <x:c r="P42" t="str">
        <x:v>Medium</x:v>
      </x:c>
      <x:c r="Q42" t="str">
        <x:v>Yes</x:v>
      </x:c>
      <x:c r="R42" t="str">
        <x:v>Hard</x:v>
      </x:c>
      <x:c r="S42" t="str">
        <x:v>2026-only select Chase Travel hotel credit; two-night minimum; verify eligible brands.</x:v>
      </x:c>
      <x:c r="T42" t="str">
        <x:v>https://account.chase.com/sapphire/reserve/benefits</x:v>
      </x:c>
      <x:c r="U42" t="str">
        <x:v>Time-limited / verify terms</x:v>
      </x:c>
    </x:row>
    <x:row r="43">
      <x:c r="A43" t="str">
        <x:v>chase_sapphire_reserve_p1_global_entry</x:v>
      </x:c>
      <x:c r="B43" t="str">
        <x:v>Person 1</x:v>
      </x:c>
      <x:c r="C43" t="str">
        <x:v>chase_sapphire_reserve_p1</x:v>
      </x:c>
      <x:c r="D43" t="str">
        <x:v>Chase Sapphire Reserve</x:v>
      </x:c>
      <x:c r="E43" t="str">
        <x:v>Global Entry / TSA PreCheck / NEXUS</x:v>
      </x:c>
      <x:c r="F43" t="str">
        <x:v>Reimbursement</x:v>
      </x:c>
      <x:c r="G43" t="str">
        <x:v>Travel</x:v>
      </x:c>
      <x:c r="H43" t="n">
        <x:v>120</x:v>
      </x:c>
      <x:c r="I43" t="n">
        <x:v>100</x:v>
      </x:c>
      <x:c r="J43" t="str">
        <x:v>Custom</x:v>
      </x:c>
      <x:c r="K43" t="str">
        <x:v>Specific Date Range</x:v>
      </x:c>
      <x:c r="L43" t="str">
        <x:v>Specific Date</x:v>
      </x:c>
      <x:c r="M43" t="str"/>
      <x:c r="N43" t="n">
        <x:v>90</x:v>
      </x:c>
      <x:c r="O43" t="str">
        <x:v>Amount</x:v>
      </x:c>
      <x:c r="P43" t="str">
        <x:v>Low</x:v>
      </x:c>
      <x:c r="Q43" t="str">
        <x:v>No</x:v>
      </x:c>
      <x:c r="R43" t="str">
        <x:v>Easy</x:v>
      </x:c>
      <x:c r="S43" t="str">
        <x:v>Up to $120 every four years. Manually set expiry when due.</x:v>
      </x:c>
      <x:c r="T43" t="str">
        <x:v>https://creditcards.chase.com/rewards-credit-cards/sapphire/reserve</x:v>
      </x:c>
      <x:c r="U43" t="str"/>
    </x:row>
    <x:row r="44">
      <x:c r="A44" t="str">
        <x:v>chase_sapphire_reserve_p2_travel_annual</x:v>
      </x:c>
      <x:c r="B44" t="str">
        <x:v>Person 2</x:v>
      </x:c>
      <x:c r="C44" t="str">
        <x:v>chase_sapphire_reserve_p2</x:v>
      </x:c>
      <x:c r="D44" t="str">
        <x:v>Chase Sapphire Reserve</x:v>
      </x:c>
      <x:c r="E44" t="str">
        <x:v>Annual Travel Credit</x:v>
      </x:c>
      <x:c r="F44" t="str">
        <x:v>Credit</x:v>
      </x:c>
      <x:c r="G44" t="str">
        <x:v>Travel</x:v>
      </x:c>
      <x:c r="H44" t="n">
        <x:v>300</x:v>
      </x:c>
      <x:c r="I44" t="n">
        <x:v>300</x:v>
      </x:c>
      <x:c r="J44" t="str">
        <x:v>Annual</x:v>
      </x:c>
      <x:c r="K44" t="str">
        <x:v>Cardmember Year</x:v>
      </x:c>
      <x:c r="L44" t="str">
        <x:v>Card Anniversary</x:v>
      </x:c>
      <x:c r="M44" t="str"/>
      <x:c r="N44" t="n">
        <x:v>30</x:v>
      </x:c>
      <x:c r="O44" t="str">
        <x:v>Amount</x:v>
      </x:c>
      <x:c r="P44" t="str">
        <x:v>High</x:v>
      </x:c>
      <x:c r="Q44" t="str">
        <x:v>Yes</x:v>
      </x:c>
      <x:c r="R44" t="str">
        <x:v>Easy</x:v>
      </x:c>
      <x:c r="S44" t="str">
        <x:v>Up to $300 annual travel credit; anniversary-year based. Add open date/renewal to refine.</x:v>
      </x:c>
      <x:c r="T44" t="str">
        <x:v>https://account.chase.com/sapphire/reserve/disclosures</x:v>
      </x:c>
      <x:c r="U44" t="str"/>
    </x:row>
    <x:row r="45">
      <x:c r="A45" t="str">
        <x:v>chase_sapphire_reserve_p2_dining_h1</x:v>
      </x:c>
      <x:c r="B45" t="str">
        <x:v>Person 2</x:v>
      </x:c>
      <x:c r="C45" t="str">
        <x:v>chase_sapphire_reserve_p2</x:v>
      </x:c>
      <x:c r="D45" t="str">
        <x:v>Chase Sapphire Reserve</x:v>
      </x:c>
      <x:c r="E45" t="str">
        <x:v>Sapphire Reserve Dining Credit H1</x:v>
      </x:c>
      <x:c r="F45" t="str">
        <x:v>Credit</x:v>
      </x:c>
      <x:c r="G45" t="str">
        <x:v>Dining</x:v>
      </x:c>
      <x:c r="H45" t="n">
        <x:v>150</x:v>
      </x:c>
      <x:c r="I45" t="n">
        <x:v>120</x:v>
      </x:c>
      <x:c r="J45" t="str">
        <x:v>Semiannual</x:v>
      </x:c>
      <x:c r="K45" t="str">
        <x:v>Jan-Jun</x:v>
      </x:c>
      <x:c r="L45" t="str">
        <x:v>June 30</x:v>
      </x:c>
      <x:c r="M45" t="str"/>
      <x:c r="N45" t="n">
        <x:v>14</x:v>
      </x:c>
      <x:c r="O45" t="str">
        <x:v>Amount</x:v>
      </x:c>
      <x:c r="P45" t="str">
        <x:v>High</x:v>
      </x:c>
      <x:c r="Q45" t="str">
        <x:v>Yes</x:v>
      </x:c>
      <x:c r="R45" t="str">
        <x:v>Medium</x:v>
      </x:c>
      <x:c r="S45" t="str">
        <x:v>Up to $150 Jan-Jun at Sapphire Reserve Exclusive Tables restaurants.</x:v>
      </x:c>
      <x:c r="T45" t="str">
        <x:v>https://account.chase.com/sapphire/reserve/benefits</x:v>
      </x:c>
      <x:c r="U45" t="str"/>
    </x:row>
    <x:row r="46">
      <x:c r="A46" t="str">
        <x:v>chase_sapphire_reserve_p2_dining_h2</x:v>
      </x:c>
      <x:c r="B46" t="str">
        <x:v>Person 2</x:v>
      </x:c>
      <x:c r="C46" t="str">
        <x:v>chase_sapphire_reserve_p2</x:v>
      </x:c>
      <x:c r="D46" t="str">
        <x:v>Chase Sapphire Reserve</x:v>
      </x:c>
      <x:c r="E46" t="str">
        <x:v>Sapphire Reserve Dining Credit H2</x:v>
      </x:c>
      <x:c r="F46" t="str">
        <x:v>Credit</x:v>
      </x:c>
      <x:c r="G46" t="str">
        <x:v>Dining</x:v>
      </x:c>
      <x:c r="H46" t="n">
        <x:v>150</x:v>
      </x:c>
      <x:c r="I46" t="n">
        <x:v>120</x:v>
      </x:c>
      <x:c r="J46" t="str">
        <x:v>Semiannual</x:v>
      </x:c>
      <x:c r="K46" t="str">
        <x:v>Jul-Dec</x:v>
      </x:c>
      <x:c r="L46" t="str">
        <x:v>Dec 31</x:v>
      </x:c>
      <x:c r="M46" t="str"/>
      <x:c r="N46" t="n">
        <x:v>14</x:v>
      </x:c>
      <x:c r="O46" t="str">
        <x:v>Amount</x:v>
      </x:c>
      <x:c r="P46" t="str">
        <x:v>High</x:v>
      </x:c>
      <x:c r="Q46" t="str">
        <x:v>Yes</x:v>
      </x:c>
      <x:c r="R46" t="str">
        <x:v>Medium</x:v>
      </x:c>
      <x:c r="S46" t="str">
        <x:v>Up to $150 Jul-Dec at Sapphire Reserve Exclusive Tables restaurants.</x:v>
      </x:c>
      <x:c r="T46" t="str">
        <x:v>https://account.chase.com/sapphire/reserve/benefits</x:v>
      </x:c>
      <x:c r="U46" t="str"/>
    </x:row>
    <x:row r="47">
      <x:c r="A47" t="str">
        <x:v>chase_sapphire_reserve_p2_stubhub_h1</x:v>
      </x:c>
      <x:c r="B47" t="str">
        <x:v>Person 2</x:v>
      </x:c>
      <x:c r="C47" t="str">
        <x:v>chase_sapphire_reserve_p2</x:v>
      </x:c>
      <x:c r="D47" t="str">
        <x:v>Chase Sapphire Reserve</x:v>
      </x:c>
      <x:c r="E47" t="str">
        <x:v>StubHub / viagogo Credit H1</x:v>
      </x:c>
      <x:c r="F47" t="str">
        <x:v>Credit</x:v>
      </x:c>
      <x:c r="G47" t="str">
        <x:v>Entertainment</x:v>
      </x:c>
      <x:c r="H47" t="n">
        <x:v>150</x:v>
      </x:c>
      <x:c r="I47" t="n">
        <x:v>100</x:v>
      </x:c>
      <x:c r="J47" t="str">
        <x:v>Semiannual</x:v>
      </x:c>
      <x:c r="K47" t="str">
        <x:v>Jan-Jun</x:v>
      </x:c>
      <x:c r="L47" t="str">
        <x:v>June 30</x:v>
      </x:c>
      <x:c r="M47" t="str"/>
      <x:c r="N47" t="n">
        <x:v>14</x:v>
      </x:c>
      <x:c r="O47" t="str">
        <x:v>Amount</x:v>
      </x:c>
      <x:c r="P47" t="str">
        <x:v>Medium</x:v>
      </x:c>
      <x:c r="Q47" t="str">
        <x:v>Yes</x:v>
      </x:c>
      <x:c r="R47" t="str">
        <x:v>Medium</x:v>
      </x:c>
      <x:c r="S47" t="str">
        <x:v>Up to $150 Jan-Jun; activation required.</x:v>
      </x:c>
      <x:c r="T47" t="str">
        <x:v>https://account.chase.com/sapphire/reserve/benefits</x:v>
      </x:c>
      <x:c r="U47" t="str"/>
    </x:row>
    <x:row r="48">
      <x:c r="A48" t="str">
        <x:v>chase_sapphire_reserve_p2_stubhub_h2</x:v>
      </x:c>
      <x:c r="B48" t="str">
        <x:v>Person 2</x:v>
      </x:c>
      <x:c r="C48" t="str">
        <x:v>chase_sapphire_reserve_p2</x:v>
      </x:c>
      <x:c r="D48" t="str">
        <x:v>Chase Sapphire Reserve</x:v>
      </x:c>
      <x:c r="E48" t="str">
        <x:v>StubHub / viagogo Credit H2</x:v>
      </x:c>
      <x:c r="F48" t="str">
        <x:v>Credit</x:v>
      </x:c>
      <x:c r="G48" t="str">
        <x:v>Entertainment</x:v>
      </x:c>
      <x:c r="H48" t="n">
        <x:v>150</x:v>
      </x:c>
      <x:c r="I48" t="n">
        <x:v>100</x:v>
      </x:c>
      <x:c r="J48" t="str">
        <x:v>Semiannual</x:v>
      </x:c>
      <x:c r="K48" t="str">
        <x:v>Jul-Dec</x:v>
      </x:c>
      <x:c r="L48" t="str">
        <x:v>Dec 31</x:v>
      </x:c>
      <x:c r="M48" t="str"/>
      <x:c r="N48" t="n">
        <x:v>14</x:v>
      </x:c>
      <x:c r="O48" t="str">
        <x:v>Amount</x:v>
      </x:c>
      <x:c r="P48" t="str">
        <x:v>Medium</x:v>
      </x:c>
      <x:c r="Q48" t="str">
        <x:v>Yes</x:v>
      </x:c>
      <x:c r="R48" t="str">
        <x:v>Medium</x:v>
      </x:c>
      <x:c r="S48" t="str">
        <x:v>Up to $150 Jul-Dec; activation required.</x:v>
      </x:c>
      <x:c r="T48" t="str">
        <x:v>https://account.chase.com/sapphire/reserve/benefits</x:v>
      </x:c>
      <x:c r="U48" t="str"/>
    </x:row>
    <x:row r="49">
      <x:c r="A49" t="str">
        <x:v>chase_sapphire_reserve_p2_lyft_monthly</x:v>
      </x:c>
      <x:c r="B49" t="str">
        <x:v>Person 2</x:v>
      </x:c>
      <x:c r="C49" t="str">
        <x:v>chase_sapphire_reserve_p2</x:v>
      </x:c>
      <x:c r="D49" t="str">
        <x:v>Chase Sapphire Reserve</x:v>
      </x:c>
      <x:c r="E49" t="str">
        <x:v>Lyft Monthly Credit</x:v>
      </x:c>
      <x:c r="F49" t="str">
        <x:v>Credit</x:v>
      </x:c>
      <x:c r="G49" t="str">
        <x:v>Rideshare</x:v>
      </x:c>
      <x:c r="H49" t="n">
        <x:v>10</x:v>
      </x:c>
      <x:c r="I49" t="n">
        <x:v>10</x:v>
      </x:c>
      <x:c r="J49" t="str">
        <x:v>Monthly</x:v>
      </x:c>
      <x:c r="K49" t="str">
        <x:v>Calendar Month</x:v>
      </x:c>
      <x:c r="L49" t="str">
        <x:v>End of Month</x:v>
      </x:c>
      <x:c r="M49" t="str"/>
      <x:c r="N49" t="n">
        <x:v>5</x:v>
      </x:c>
      <x:c r="O49" t="str">
        <x:v>Amount</x:v>
      </x:c>
      <x:c r="P49" t="str">
        <x:v>Medium</x:v>
      </x:c>
      <x:c r="Q49" t="str">
        <x:v>Yes</x:v>
      </x:c>
      <x:c r="R49" t="str">
        <x:v>Easy</x:v>
      </x:c>
      <x:c r="S49" t="str">
        <x:v>Up to $10/month Lyft credit through 9/30/2027.</x:v>
      </x:c>
      <x:c r="T49" t="str">
        <x:v>https://account.chase.com/sapphire/reserve/disclosures</x:v>
      </x:c>
      <x:c r="U49" t="str"/>
    </x:row>
    <x:row r="50">
      <x:c r="A50" t="str">
        <x:v>chase_sapphire_reserve_p2_peloton_monthly</x:v>
      </x:c>
      <x:c r="B50" t="str">
        <x:v>Person 2</x:v>
      </x:c>
      <x:c r="C50" t="str">
        <x:v>chase_sapphire_reserve_p2</x:v>
      </x:c>
      <x:c r="D50" t="str">
        <x:v>Chase Sapphire Reserve</x:v>
      </x:c>
      <x:c r="E50" t="str">
        <x:v>Peloton Monthly Credit</x:v>
      </x:c>
      <x:c r="F50" t="str">
        <x:v>Credit</x:v>
      </x:c>
      <x:c r="G50" t="str">
        <x:v>Other</x:v>
      </x:c>
      <x:c r="H50" t="n">
        <x:v>10</x:v>
      </x:c>
      <x:c r="I50" t="n">
        <x:v>0</x:v>
      </x:c>
      <x:c r="J50" t="str">
        <x:v>Monthly</x:v>
      </x:c>
      <x:c r="K50" t="str">
        <x:v>Calendar Month</x:v>
      </x:c>
      <x:c r="L50" t="str">
        <x:v>End of Month</x:v>
      </x:c>
      <x:c r="M50" t="str"/>
      <x:c r="N50" t="n">
        <x:v>5</x:v>
      </x:c>
      <x:c r="O50" t="str">
        <x:v>Amount</x:v>
      </x:c>
      <x:c r="P50" t="str">
        <x:v>Low</x:v>
      </x:c>
      <x:c r="Q50" t="str">
        <x:v>No</x:v>
      </x:c>
      <x:c r="R50" t="str">
        <x:v>Hard</x:v>
      </x:c>
      <x:c r="S50" t="str">
        <x:v>Up to $10/month Peloton membership credit through 12/31/2027; turn on alert if relevant.</x:v>
      </x:c>
      <x:c r="T50" t="str">
        <x:v>https://account.chase.com/sapphire/reserve/disclosures</x:v>
      </x:c>
      <x:c r="U50" t="str"/>
    </x:row>
    <x:row r="51">
      <x:c r="A51" t="str">
        <x:v>chase_sapphire_reserve_p2_doordash_monthly</x:v>
      </x:c>
      <x:c r="B51" t="str">
        <x:v>Person 2</x:v>
      </x:c>
      <x:c r="C51" t="str">
        <x:v>chase_sapphire_reserve_p2</x:v>
      </x:c>
      <x:c r="D51" t="str">
        <x:v>Chase Sapphire Reserve</x:v>
      </x:c>
      <x:c r="E51" t="str">
        <x:v>DoorDash Promos</x:v>
      </x:c>
      <x:c r="F51" t="str">
        <x:v>Credit</x:v>
      </x:c>
      <x:c r="G51" t="str">
        <x:v>Dining</x:v>
      </x:c>
      <x:c r="H51" t="n">
        <x:v>25</x:v>
      </x:c>
      <x:c r="I51" t="n">
        <x:v>20</x:v>
      </x:c>
      <x:c r="J51" t="str">
        <x:v>Monthly</x:v>
      </x:c>
      <x:c r="K51" t="str">
        <x:v>Calendar Month</x:v>
      </x:c>
      <x:c r="L51" t="str">
        <x:v>End of Month</x:v>
      </x:c>
      <x:c r="M51" t="str"/>
      <x:c r="N51" t="n">
        <x:v>5</x:v>
      </x:c>
      <x:c r="O51" t="str">
        <x:v>Amount</x:v>
      </x:c>
      <x:c r="P51" t="str">
        <x:v>High</x:v>
      </x:c>
      <x:c r="Q51" t="str">
        <x:v>Yes</x:v>
      </x:c>
      <x:c r="R51" t="str">
        <x:v>Medium</x:v>
      </x:c>
      <x:c r="S51" t="str">
        <x:v>Chase advertises up to $300 in DoorDash promos annually; verify monthly split in app.</x:v>
      </x:c>
      <x:c r="T51" t="str">
        <x:v>https://creditcards.chase.com/rewards-credit-cards/sapphire/reserve</x:v>
      </x:c>
      <x:c r="U51" t="str">
        <x:v>Verify current monthly split in DoorDash</x:v>
      </x:c>
    </x:row>
    <x:row r="52">
      <x:c r="A52" t="str">
        <x:v>chase_sapphire_reserve_p2_the_edit_annual</x:v>
      </x:c>
      <x:c r="B52" t="str">
        <x:v>Person 2</x:v>
      </x:c>
      <x:c r="C52" t="str">
        <x:v>chase_sapphire_reserve_p2</x:v>
      </x:c>
      <x:c r="D52" t="str">
        <x:v>Chase Sapphire Reserve</x:v>
      </x:c>
      <x:c r="E52" t="str">
        <x:v>The Edit Hotel Credit</x:v>
      </x:c>
      <x:c r="F52" t="str">
        <x:v>Credit</x:v>
      </x:c>
      <x:c r="G52" t="str">
        <x:v>Hotel</x:v>
      </x:c>
      <x:c r="H52" t="n">
        <x:v>500</x:v>
      </x:c>
      <x:c r="I52" t="n">
        <x:v>250</x:v>
      </x:c>
      <x:c r="J52" t="str">
        <x:v>Annual</x:v>
      </x:c>
      <x:c r="K52" t="str">
        <x:v>Calendar Year</x:v>
      </x:c>
      <x:c r="L52" t="str">
        <x:v>Dec 31</x:v>
      </x:c>
      <x:c r="M52" t="str"/>
      <x:c r="N52" t="n">
        <x:v>30</x:v>
      </x:c>
      <x:c r="O52" t="str">
        <x:v>Amount</x:v>
      </x:c>
      <x:c r="P52" t="str">
        <x:v>Medium</x:v>
      </x:c>
      <x:c r="Q52" t="str">
        <x:v>Yes</x:v>
      </x:c>
      <x:c r="R52" t="str">
        <x:v>Hard</x:v>
      </x:c>
      <x:c r="S52" t="str">
        <x:v>Up to $250 per prepaid booking, up to $500 annually; two-night minimum.</x:v>
      </x:c>
      <x:c r="T52" t="str">
        <x:v>https://creditcards.chase.com/rewards-credit-cards/sapphire/reserve</x:v>
      </x:c>
      <x:c r="U52" t="str"/>
    </x:row>
    <x:row r="53">
      <x:c r="A53" t="str">
        <x:v>chase_sapphire_reserve_p2_select_hotel_2026</x:v>
      </x:c>
      <x:c r="B53" t="str">
        <x:v>Person 2</x:v>
      </x:c>
      <x:c r="C53" t="str">
        <x:v>chase_sapphire_reserve_p2</x:v>
      </x:c>
      <x:c r="D53" t="str">
        <x:v>Chase Sapphire Reserve</x:v>
      </x:c>
      <x:c r="E53" t="str">
        <x:v>2026 Select Chase Travel Hotel Credit</x:v>
      </x:c>
      <x:c r="F53" t="str">
        <x:v>Credit</x:v>
      </x:c>
      <x:c r="G53" t="str">
        <x:v>Hotel</x:v>
      </x:c>
      <x:c r="H53" t="n">
        <x:v>250</x:v>
      </x:c>
      <x:c r="I53" t="n">
        <x:v>150</x:v>
      </x:c>
      <x:c r="J53" t="str">
        <x:v>One-time</x:v>
      </x:c>
      <x:c r="K53" t="str">
        <x:v>Specific Date Range</x:v>
      </x:c>
      <x:c r="L53" t="str">
        <x:v>Specific Date</x:v>
      </x:c>
      <x:c r="M53" t="n">
        <x:v>46387</x:v>
      </x:c>
      <x:c r="N53" t="n">
        <x:v>30</x:v>
      </x:c>
      <x:c r="O53" t="str">
        <x:v>Amount</x:v>
      </x:c>
      <x:c r="P53" t="str">
        <x:v>Medium</x:v>
      </x:c>
      <x:c r="Q53" t="str">
        <x:v>Yes</x:v>
      </x:c>
      <x:c r="R53" t="str">
        <x:v>Hard</x:v>
      </x:c>
      <x:c r="S53" t="str">
        <x:v>2026-only select Chase Travel hotel credit; two-night minimum; verify eligible brands.</x:v>
      </x:c>
      <x:c r="T53" t="str">
        <x:v>https://account.chase.com/sapphire/reserve/benefits</x:v>
      </x:c>
      <x:c r="U53" t="str">
        <x:v>Time-limited / verify terms</x:v>
      </x:c>
    </x:row>
    <x:row r="54">
      <x:c r="A54" t="str">
        <x:v>chase_sapphire_reserve_p2_global_entry</x:v>
      </x:c>
      <x:c r="B54" t="str">
        <x:v>Person 2</x:v>
      </x:c>
      <x:c r="C54" t="str">
        <x:v>chase_sapphire_reserve_p2</x:v>
      </x:c>
      <x:c r="D54" t="str">
        <x:v>Chase Sapphire Reserve</x:v>
      </x:c>
      <x:c r="E54" t="str">
        <x:v>Global Entry / TSA PreCheck / NEXUS</x:v>
      </x:c>
      <x:c r="F54" t="str">
        <x:v>Reimbursement</x:v>
      </x:c>
      <x:c r="G54" t="str">
        <x:v>Travel</x:v>
      </x:c>
      <x:c r="H54" t="n">
        <x:v>120</x:v>
      </x:c>
      <x:c r="I54" t="n">
        <x:v>100</x:v>
      </x:c>
      <x:c r="J54" t="str">
        <x:v>Custom</x:v>
      </x:c>
      <x:c r="K54" t="str">
        <x:v>Specific Date Range</x:v>
      </x:c>
      <x:c r="L54" t="str">
        <x:v>Specific Date</x:v>
      </x:c>
      <x:c r="M54" t="str"/>
      <x:c r="N54" t="n">
        <x:v>90</x:v>
      </x:c>
      <x:c r="O54" t="str">
        <x:v>Amount</x:v>
      </x:c>
      <x:c r="P54" t="str">
        <x:v>Low</x:v>
      </x:c>
      <x:c r="Q54" t="str">
        <x:v>No</x:v>
      </x:c>
      <x:c r="R54" t="str">
        <x:v>Easy</x:v>
      </x:c>
      <x:c r="S54" t="str">
        <x:v>Up to $120 every four years. Manually set expiry when due.</x:v>
      </x:c>
      <x:c r="T54" t="str">
        <x:v>https://creditcards.chase.com/rewards-credit-cards/sapphire/reserve</x:v>
      </x:c>
      <x:c r="U54" t="str"/>
    </x:row>
    <x:row r="55">
      <x:c r="A55" t="str">
        <x:v>chase_united_quest_p1_united_travel_credit</x:v>
      </x:c>
      <x:c r="B55" t="str">
        <x:v>Person 1</x:v>
      </x:c>
      <x:c r="C55" t="str">
        <x:v>chase_united_quest_p1</x:v>
      </x:c>
      <x:c r="D55" t="str">
        <x:v>Chase United Quest</x:v>
      </x:c>
      <x:c r="E55" t="str">
        <x:v>United Travel Credit</x:v>
      </x:c>
      <x:c r="F55" t="str">
        <x:v>Credit</x:v>
      </x:c>
      <x:c r="G55" t="str">
        <x:v>Airline</x:v>
      </x:c>
      <x:c r="H55" t="n">
        <x:v>200</x:v>
      </x:c>
      <x:c r="I55" t="n">
        <x:v>200</x:v>
      </x:c>
      <x:c r="J55" t="str">
        <x:v>Annual</x:v>
      </x:c>
      <x:c r="K55" t="str">
        <x:v>Cardmember Year</x:v>
      </x:c>
      <x:c r="L55" t="str">
        <x:v>Card Anniversary</x:v>
      </x:c>
      <x:c r="M55" t="str"/>
      <x:c r="N55" t="n">
        <x:v>30</x:v>
      </x:c>
      <x:c r="O55" t="str">
        <x:v>Amount</x:v>
      </x:c>
      <x:c r="P55" t="str">
        <x:v>High</x:v>
      </x:c>
      <x:c r="Q55" t="str">
        <x:v>Yes</x:v>
      </x:c>
      <x:c r="R55" t="str">
        <x:v>Medium</x:v>
      </x:c>
      <x:c r="S55" t="str">
        <x:v>Current Chase page advertises $200 United travel credit; verify account terms.</x:v>
      </x:c>
      <x:c r="T55" t="str">
        <x:v>https://creditcards.chase.com/travel-credit-cards/united/united-quest</x:v>
      </x:c>
      <x:c r="U55" t="str"/>
    </x:row>
    <x:row r="56">
      <x:c r="A56" t="str">
        <x:v>chase_united_quest_p1_rideshare_monthly</x:v>
      </x:c>
      <x:c r="B56" t="str">
        <x:v>Person 1</x:v>
      </x:c>
      <x:c r="C56" t="str">
        <x:v>chase_united_quest_p1</x:v>
      </x:c>
      <x:c r="D56" t="str">
        <x:v>Chase United Quest</x:v>
      </x:c>
      <x:c r="E56" t="str">
        <x:v>Rideshare Credit</x:v>
      </x:c>
      <x:c r="F56" t="str">
        <x:v>Credit</x:v>
      </x:c>
      <x:c r="G56" t="str">
        <x:v>Rideshare</x:v>
      </x:c>
      <x:c r="H56" t="n">
        <x:v>8</x:v>
      </x:c>
      <x:c r="I56" t="n">
        <x:v>8</x:v>
      </x:c>
      <x:c r="J56" t="str">
        <x:v>Monthly</x:v>
      </x:c>
      <x:c r="K56" t="str">
        <x:v>Calendar Month</x:v>
      </x:c>
      <x:c r="L56" t="str">
        <x:v>End of Month</x:v>
      </x:c>
      <x:c r="M56" t="str"/>
      <x:c r="N56" t="n">
        <x:v>5</x:v>
      </x:c>
      <x:c r="O56" t="str">
        <x:v>Amount</x:v>
      </x:c>
      <x:c r="P56" t="str">
        <x:v>Medium</x:v>
      </x:c>
      <x:c r="Q56" t="str">
        <x:v>Yes</x:v>
      </x:c>
      <x:c r="R56" t="str">
        <x:v>Easy</x:v>
      </x:c>
      <x:c r="S56" t="str">
        <x:v>$8 Jan-Nov; December may be $12; yearly opt-in required.</x:v>
      </x:c>
      <x:c r="T56" t="str">
        <x:v>https://www.chase.com/personal/credit-cards/united/united-quest-card</x:v>
      </x:c>
      <x:c r="U56" t="str"/>
    </x:row>
    <x:row r="57">
      <x:c r="A57" t="str">
        <x:v>chase_united_quest_p1_renowned_hotels</x:v>
      </x:c>
      <x:c r="B57" t="str">
        <x:v>Person 1</x:v>
      </x:c>
      <x:c r="C57" t="str">
        <x:v>chase_united_quest_p1</x:v>
      </x:c>
      <x:c r="D57" t="str">
        <x:v>Chase United Quest</x:v>
      </x:c>
      <x:c r="E57" t="str">
        <x:v>Renowned Hotels Credit</x:v>
      </x:c>
      <x:c r="F57" t="str">
        <x:v>Credit</x:v>
      </x:c>
      <x:c r="G57" t="str">
        <x:v>Hotel</x:v>
      </x:c>
      <x:c r="H57" t="n">
        <x:v>150</x:v>
      </x:c>
      <x:c r="I57" t="n">
        <x:v>100</x:v>
      </x:c>
      <x:c r="J57" t="str">
        <x:v>Annual</x:v>
      </x:c>
      <x:c r="K57" t="str">
        <x:v>Cardmember Year</x:v>
      </x:c>
      <x:c r="L57" t="str">
        <x:v>Card Anniversary</x:v>
      </x:c>
      <x:c r="M57" t="str"/>
      <x:c r="N57" t="n">
        <x:v>30</x:v>
      </x:c>
      <x:c r="O57" t="str">
        <x:v>Amount</x:v>
      </x:c>
      <x:c r="P57" t="str">
        <x:v>Medium</x:v>
      </x:c>
      <x:c r="Q57" t="str">
        <x:v>Yes</x:v>
      </x:c>
      <x:c r="R57" t="str">
        <x:v>Hard</x:v>
      </x:c>
      <x:c r="S57" t="str">
        <x:v>Up to $150 annually on prepaid Renowned Hotels and Resorts.</x:v>
      </x:c>
      <x:c r="T57" t="str">
        <x:v>https://www.chase.com/personal/credit-cards/united/united-quest-card</x:v>
      </x:c>
      <x:c r="U57" t="str"/>
    </x:row>
    <x:row r="58">
      <x:c r="A58" t="str">
        <x:v>chase_united_quest_p1_jsx_credit</x:v>
      </x:c>
      <x:c r="B58" t="str">
        <x:v>Person 1</x:v>
      </x:c>
      <x:c r="C58" t="str">
        <x:v>chase_united_quest_p1</x:v>
      </x:c>
      <x:c r="D58" t="str">
        <x:v>Chase United Quest</x:v>
      </x:c>
      <x:c r="E58" t="str">
        <x:v>JSX Credit</x:v>
      </x:c>
      <x:c r="F58" t="str">
        <x:v>Credit</x:v>
      </x:c>
      <x:c r="G58" t="str">
        <x:v>Airline</x:v>
      </x:c>
      <x:c r="H58" t="n">
        <x:v>150</x:v>
      </x:c>
      <x:c r="I58" t="n">
        <x:v>0</x:v>
      </x:c>
      <x:c r="J58" t="str">
        <x:v>Annual</x:v>
      </x:c>
      <x:c r="K58" t="str">
        <x:v>Cardmember Year</x:v>
      </x:c>
      <x:c r="L58" t="str">
        <x:v>Card Anniversary</x:v>
      </x:c>
      <x:c r="M58" t="str"/>
      <x:c r="N58" t="n">
        <x:v>30</x:v>
      </x:c>
      <x:c r="O58" t="str">
        <x:v>Amount</x:v>
      </x:c>
      <x:c r="P58" t="str">
        <x:v>Low</x:v>
      </x:c>
      <x:c r="Q58" t="str">
        <x:v>No</x:v>
      </x:c>
      <x:c r="R58" t="str">
        <x:v>Hard</x:v>
      </x:c>
      <x:c r="S58" t="str">
        <x:v>Track only if you use JSX.</x:v>
      </x:c>
      <x:c r="T58" t="str">
        <x:v>https://www.chase.com/personal/credit-cards/united/united-quest-card</x:v>
      </x:c>
      <x:c r="U58" t="str"/>
    </x:row>
    <x:row r="59">
      <x:c r="A59" t="str">
        <x:v>chase_united_quest_p1_avis_budget</x:v>
      </x:c>
      <x:c r="B59" t="str">
        <x:v>Person 1</x:v>
      </x:c>
      <x:c r="C59" t="str">
        <x:v>chase_united_quest_p1</x:v>
      </x:c>
      <x:c r="D59" t="str">
        <x:v>Chase United Quest</x:v>
      </x:c>
      <x:c r="E59" t="str">
        <x:v>Avis / Budget United TravelBank Credit</x:v>
      </x:c>
      <x:c r="F59" t="str">
        <x:v>Credit</x:v>
      </x:c>
      <x:c r="G59" t="str">
        <x:v>Travel</x:v>
      </x:c>
      <x:c r="H59" t="n">
        <x:v>80</x:v>
      </x:c>
      <x:c r="I59" t="n">
        <x:v>40</x:v>
      </x:c>
      <x:c r="J59" t="str">
        <x:v>Annual</x:v>
      </x:c>
      <x:c r="K59" t="str">
        <x:v>Cardmember Year</x:v>
      </x:c>
      <x:c r="L59" t="str">
        <x:v>Card Anniversary</x:v>
      </x:c>
      <x:c r="M59" t="str"/>
      <x:c r="N59" t="n">
        <x:v>30</x:v>
      </x:c>
      <x:c r="O59" t="str">
        <x:v>Amount</x:v>
      </x:c>
      <x:c r="P59" t="str">
        <x:v>Low</x:v>
      </x:c>
      <x:c r="Q59" t="str">
        <x:v>No</x:v>
      </x:c>
      <x:c r="R59" t="str">
        <x:v>Medium</x:v>
      </x:c>
      <x:c r="S59" t="str">
        <x:v>Up to two $40 United TravelBank credits for Avis/Budget rentals booked through United cars.</x:v>
      </x:c>
      <x:c r="T59" t="str">
        <x:v>https://cardmembers.united.com/Quest</x:v>
      </x:c>
      <x:c r="U59" t="str"/>
    </x:row>
    <x:row r="60">
      <x:c r="A60" t="str">
        <x:v>chase_united_quest_p1_global_entry</x:v>
      </x:c>
      <x:c r="B60" t="str">
        <x:v>Person 1</x:v>
      </x:c>
      <x:c r="C60" t="str">
        <x:v>chase_united_quest_p1</x:v>
      </x:c>
      <x:c r="D60" t="str">
        <x:v>Chase United Quest</x:v>
      </x:c>
      <x:c r="E60" t="str">
        <x:v>Global Entry / TSA PreCheck / NEXUS</x:v>
      </x:c>
      <x:c r="F60" t="str">
        <x:v>Reimbursement</x:v>
      </x:c>
      <x:c r="G60" t="str">
        <x:v>Travel</x:v>
      </x:c>
      <x:c r="H60" t="n">
        <x:v>120</x:v>
      </x:c>
      <x:c r="I60" t="n">
        <x:v>100</x:v>
      </x:c>
      <x:c r="J60" t="str">
        <x:v>Custom</x:v>
      </x:c>
      <x:c r="K60" t="str">
        <x:v>Specific Date Range</x:v>
      </x:c>
      <x:c r="L60" t="str">
        <x:v>Specific Date</x:v>
      </x:c>
      <x:c r="M60" t="str"/>
      <x:c r="N60" t="n">
        <x:v>90</x:v>
      </x:c>
      <x:c r="O60" t="str">
        <x:v>Amount</x:v>
      </x:c>
      <x:c r="P60" t="str">
        <x:v>Low</x:v>
      </x:c>
      <x:c r="Q60" t="str">
        <x:v>No</x:v>
      </x:c>
      <x:c r="R60" t="str">
        <x:v>Easy</x:v>
      </x:c>
      <x:c r="S60" t="str">
        <x:v>Up to $120 every four years. Manually set expiry when due.</x:v>
      </x:c>
      <x:c r="T60" t="str">
        <x:v>https://www.chase.com/personal/credit-cards/united/united-quest-card</x:v>
      </x:c>
      <x:c r="U60" t="str"/>
    </x:row>
    <x:row r="61">
      <x:c r="A61" t="str">
        <x:v>chase_marriott_boundless_p1_annual_free_night</x:v>
      </x:c>
      <x:c r="B61" t="str">
        <x:v>Person 1</x:v>
      </x:c>
      <x:c r="C61" t="str">
        <x:v>chase_marriott_boundless_p1</x:v>
      </x:c>
      <x:c r="D61" t="str">
        <x:v>Chase Marriott Bonvoy Boundless (assumed)</x:v>
      </x:c>
      <x:c r="E61" t="str">
        <x:v>Annual Free Night Award</x:v>
      </x:c>
      <x:c r="F61" t="str">
        <x:v>Free Night</x:v>
      </x:c>
      <x:c r="G61" t="str">
        <x:v>Hotel</x:v>
      </x:c>
      <x:c r="H61" t="n">
        <x:v>250</x:v>
      </x:c>
      <x:c r="I61" t="n">
        <x:v>200</x:v>
      </x:c>
      <x:c r="J61" t="str">
        <x:v>Annual</x:v>
      </x:c>
      <x:c r="K61" t="str">
        <x:v>Cardmember Year</x:v>
      </x:c>
      <x:c r="L61" t="str">
        <x:v>Card Anniversary</x:v>
      </x:c>
      <x:c r="M61" t="str"/>
      <x:c r="N61" t="n">
        <x:v>45</x:v>
      </x:c>
      <x:c r="O61" t="str">
        <x:v>Used/Unused</x:v>
      </x:c>
      <x:c r="P61" t="str">
        <x:v>High</x:v>
      </x:c>
      <x:c r="Q61" t="str">
        <x:v>Yes</x:v>
      </x:c>
      <x:c r="R61" t="str">
        <x:v>Medium</x:v>
      </x:c>
      <x:c r="S61" t="str">
        <x:v>Annual free night after account anniversary, up to 35K points; assumed Boundless.</x:v>
      </x:c>
      <x:c r="T61" t="str">
        <x:v>https://www.marriott.com/credit-cards/chase-credit-cards.mi</x:v>
      </x:c>
      <x:c r="U61" t="str">
        <x:v>Verify exact Marriott card type</x:v>
      </x:c>
    </x:row>
    <x:row r="62">
      <x:c r="A62" t="str">
        <x:v>chase_marriott_boundless_p2_annual_free_night</x:v>
      </x:c>
      <x:c r="B62" t="str">
        <x:v>Person 2</x:v>
      </x:c>
      <x:c r="C62" t="str">
        <x:v>chase_marriott_boundless_p2</x:v>
      </x:c>
      <x:c r="D62" t="str">
        <x:v>Chase Marriott Bonvoy Boundless (assumed)</x:v>
      </x:c>
      <x:c r="E62" t="str">
        <x:v>Annual Free Night Award</x:v>
      </x:c>
      <x:c r="F62" t="str">
        <x:v>Free Night</x:v>
      </x:c>
      <x:c r="G62" t="str">
        <x:v>Hotel</x:v>
      </x:c>
      <x:c r="H62" t="n">
        <x:v>250</x:v>
      </x:c>
      <x:c r="I62" t="n">
        <x:v>200</x:v>
      </x:c>
      <x:c r="J62" t="str">
        <x:v>Annual</x:v>
      </x:c>
      <x:c r="K62" t="str">
        <x:v>Cardmember Year</x:v>
      </x:c>
      <x:c r="L62" t="str">
        <x:v>Card Anniversary</x:v>
      </x:c>
      <x:c r="M62" t="str"/>
      <x:c r="N62" t="n">
        <x:v>45</x:v>
      </x:c>
      <x:c r="O62" t="str">
        <x:v>Used/Unused</x:v>
      </x:c>
      <x:c r="P62" t="str">
        <x:v>High</x:v>
      </x:c>
      <x:c r="Q62" t="str">
        <x:v>Yes</x:v>
      </x:c>
      <x:c r="R62" t="str">
        <x:v>Medium</x:v>
      </x:c>
      <x:c r="S62" t="str">
        <x:v>Annual free night after account anniversary, up to 35K points; assumed Boundless.</x:v>
      </x:c>
      <x:c r="T62" t="str">
        <x:v>https://www.marriott.com/credit-cards/chase-credit-cards.mi</x:v>
      </x:c>
      <x:c r="U62" t="str">
        <x:v>Verify exact Marriott card type</x:v>
      </x:c>
    </x:row>
    <x:row r="63">
      <x:c r="A63" t="str">
        <x:v>chase_hyatt_p1_annual_free_night</x:v>
      </x:c>
      <x:c r="B63" t="str">
        <x:v>Person 1</x:v>
      </x:c>
      <x:c r="C63" t="str">
        <x:v>chase_hyatt_p1</x:v>
      </x:c>
      <x:c r="D63" t="str">
        <x:v>World of Hyatt Credit Card</x:v>
      </x:c>
      <x:c r="E63" t="str">
        <x:v>Annual Category 1-4 Free Night</x:v>
      </x:c>
      <x:c r="F63" t="str">
        <x:v>Free Night</x:v>
      </x:c>
      <x:c r="G63" t="str">
        <x:v>Hotel</x:v>
      </x:c>
      <x:c r="H63" t="n">
        <x:v>250</x:v>
      </x:c>
      <x:c r="I63" t="n">
        <x:v>220</x:v>
      </x:c>
      <x:c r="J63" t="str">
        <x:v>Annual</x:v>
      </x:c>
      <x:c r="K63" t="str">
        <x:v>Cardmember Year</x:v>
      </x:c>
      <x:c r="L63" t="str">
        <x:v>Card Anniversary</x:v>
      </x:c>
      <x:c r="M63" t="str"/>
      <x:c r="N63" t="n">
        <x:v>45</x:v>
      </x:c>
      <x:c r="O63" t="str">
        <x:v>Used/Unused</x:v>
      </x:c>
      <x:c r="P63" t="str">
        <x:v>High</x:v>
      </x:c>
      <x:c r="Q63" t="str">
        <x:v>Yes</x:v>
      </x:c>
      <x:c r="R63" t="str">
        <x:v>Medium</x:v>
      </x:c>
      <x:c r="S63" t="str">
        <x:v>Free night at Category 1-4 Hyatt every year after cardmember anniversary.</x:v>
      </x:c>
      <x:c r="T63" t="str">
        <x:v>https://world.hyatt.com/content/gp/en/rewards/hyatt-credit-card.html</x:v>
      </x:c>
      <x:c r="U63" t="str"/>
    </x:row>
    <x:row r="64">
      <x:c r="A64" t="str">
        <x:v>chase_hyatt_p1_hyatt_statement_credit_1</x:v>
      </x:c>
      <x:c r="B64" t="str">
        <x:v>Person 1</x:v>
      </x:c>
      <x:c r="C64" t="str">
        <x:v>chase_hyatt_p1</x:v>
      </x:c>
      <x:c r="D64" t="str">
        <x:v>World of Hyatt Credit Card</x:v>
      </x:c>
      <x:c r="E64" t="str">
        <x:v>Hyatt Statement Credit 1</x:v>
      </x:c>
      <x:c r="F64" t="str">
        <x:v>Credit</x:v>
      </x:c>
      <x:c r="G64" t="str">
        <x:v>Hotel</x:v>
      </x:c>
      <x:c r="H64" t="n">
        <x:v>50</x:v>
      </x:c>
      <x:c r="I64" t="n">
        <x:v>50</x:v>
      </x:c>
      <x:c r="J64" t="str">
        <x:v>Annual</x:v>
      </x:c>
      <x:c r="K64" t="str">
        <x:v>Cardmember Year</x:v>
      </x:c>
      <x:c r="L64" t="str">
        <x:v>Card Anniversary</x:v>
      </x:c>
      <x:c r="M64" t="str"/>
      <x:c r="N64" t="n">
        <x:v>30</x:v>
      </x:c>
      <x:c r="O64" t="str">
        <x:v>Amount</x:v>
      </x:c>
      <x:c r="P64" t="str">
        <x:v>Medium</x:v>
      </x:c>
      <x:c r="Q64" t="str">
        <x:v>Yes</x:v>
      </x:c>
      <x:c r="R64" t="str">
        <x:v>Easy</x:v>
      </x:c>
      <x:c r="S64" t="str">
        <x:v>Earn $50 statement credit after $50+ at Hyatt, up to two times per anniversary year.</x:v>
      </x:c>
      <x:c r="T64" t="str">
        <x:v>https://world.hyatt.com/content/gp/en/rewards/hyatt-credit-card.html</x:v>
      </x:c>
      <x:c r="U64" t="str"/>
    </x:row>
    <x:row r="65">
      <x:c r="A65" t="str">
        <x:v>chase_hyatt_p1_hyatt_statement_credit_2</x:v>
      </x:c>
      <x:c r="B65" t="str">
        <x:v>Person 1</x:v>
      </x:c>
      <x:c r="C65" t="str">
        <x:v>chase_hyatt_p1</x:v>
      </x:c>
      <x:c r="D65" t="str">
        <x:v>World of Hyatt Credit Card</x:v>
      </x:c>
      <x:c r="E65" t="str">
        <x:v>Hyatt Statement Credit 2</x:v>
      </x:c>
      <x:c r="F65" t="str">
        <x:v>Credit</x:v>
      </x:c>
      <x:c r="G65" t="str">
        <x:v>Hotel</x:v>
      </x:c>
      <x:c r="H65" t="n">
        <x:v>50</x:v>
      </x:c>
      <x:c r="I65" t="n">
        <x:v>50</x:v>
      </x:c>
      <x:c r="J65" t="str">
        <x:v>Annual</x:v>
      </x:c>
      <x:c r="K65" t="str">
        <x:v>Cardmember Year</x:v>
      </x:c>
      <x:c r="L65" t="str">
        <x:v>Card Anniversary</x:v>
      </x:c>
      <x:c r="M65" t="str"/>
      <x:c r="N65" t="n">
        <x:v>30</x:v>
      </x:c>
      <x:c r="O65" t="str">
        <x:v>Amount</x:v>
      </x:c>
      <x:c r="P65" t="str">
        <x:v>Medium</x:v>
      </x:c>
      <x:c r="Q65" t="str">
        <x:v>Yes</x:v>
      </x:c>
      <x:c r="R65" t="str">
        <x:v>Easy</x:v>
      </x:c>
      <x:c r="S65" t="str">
        <x:v>Second $50 Hyatt statement credit.</x:v>
      </x:c>
      <x:c r="T65" t="str">
        <x:v>https://world.hyatt.com/content/gp/en/rewards/hyatt-credit-card.html</x:v>
      </x:c>
      <x:c r="U65" t="str"/>
    </x:row>
    <x:row r="66">
      <x:c r="A66" t="str">
        <x:v>chase_hyatt_p1_second_free_night_spend</x:v>
      </x:c>
      <x:c r="B66" t="str">
        <x:v>Person 1</x:v>
      </x:c>
      <x:c r="C66" t="str">
        <x:v>chase_hyatt_p1</x:v>
      </x:c>
      <x:c r="D66" t="str">
        <x:v>World of Hyatt Credit Card</x:v>
      </x:c>
      <x:c r="E66" t="str">
        <x:v>Second Free Night Spend Benefit</x:v>
      </x:c>
      <x:c r="F66" t="str">
        <x:v>Free Night</x:v>
      </x:c>
      <x:c r="G66" t="str">
        <x:v>Hotel</x:v>
      </x:c>
      <x:c r="H66" t="n">
        <x:v>250</x:v>
      </x:c>
      <x:c r="I66" t="n">
        <x:v>0</x:v>
      </x:c>
      <x:c r="J66" t="str">
        <x:v>Annual</x:v>
      </x:c>
      <x:c r="K66" t="str">
        <x:v>Calendar Year</x:v>
      </x:c>
      <x:c r="L66" t="str">
        <x:v>Dec 31</x:v>
      </x:c>
      <x:c r="M66" t="str"/>
      <x:c r="N66" t="n">
        <x:v>45</x:v>
      </x:c>
      <x:c r="O66" t="str">
        <x:v>Used/Unused</x:v>
      </x:c>
      <x:c r="P66" t="str">
        <x:v>Low</x:v>
      </x:c>
      <x:c r="Q66" t="str">
        <x:v>No</x:v>
      </x:c>
      <x:c r="R66" t="str">
        <x:v>Hard</x:v>
      </x:c>
      <x:c r="S66" t="str">
        <x:v>Earn extra Category 1-4 free night after $15K spend in calendar year.</x:v>
      </x:c>
      <x:c r="T66" t="str">
        <x:v>https://creditcards.chase.com/travel-credit-cards/world-of-hyatt-credit-card</x:v>
      </x:c>
      <x:c r="U66" t="str"/>
    </x:row>
    <x:row r="67">
      <x:c r="A67" t="str">
        <x:v>amex_hilton_p1_hilton_credit_quarterly</x:v>
      </x:c>
      <x:c r="B67" t="str">
        <x:v>Person 1</x:v>
      </x:c>
      <x:c r="C67" t="str">
        <x:v>amex_hilton_p1</x:v>
      </x:c>
      <x:c r="D67" t="str">
        <x:v>Hilton Honors American Express Surpass (assumed)</x:v>
      </x:c>
      <x:c r="E67" t="str">
        <x:v>Quarterly Hilton Credit</x:v>
      </x:c>
      <x:c r="F67" t="str">
        <x:v>Credit</x:v>
      </x:c>
      <x:c r="G67" t="str">
        <x:v>Hotel</x:v>
      </x:c>
      <x:c r="H67" t="n">
        <x:v>50</x:v>
      </x:c>
      <x:c r="I67" t="n">
        <x:v>50</x:v>
      </x:c>
      <x:c r="J67" t="str">
        <x:v>Quarterly</x:v>
      </x:c>
      <x:c r="K67" t="str">
        <x:v>Calendar Quarter</x:v>
      </x:c>
      <x:c r="L67" t="str">
        <x:v>End of Quarter</x:v>
      </x:c>
      <x:c r="M67" t="str"/>
      <x:c r="N67" t="n">
        <x:v>10</x:v>
      </x:c>
      <x:c r="O67" t="str">
        <x:v>Amount</x:v>
      </x:c>
      <x:c r="P67" t="str">
        <x:v>High</x:v>
      </x:c>
      <x:c r="Q67" t="str">
        <x:v>Yes</x:v>
      </x:c>
      <x:c r="R67" t="str">
        <x:v>Medium</x:v>
      </x:c>
      <x:c r="S67" t="str">
        <x:v>Assumed Surpass: up to $50 per quarter at Hilton portfolio properties.</x:v>
      </x:c>
      <x:c r="T67" t="str">
        <x:v>https://global.americanexpress.com/card-benefits/view-all/hilton-surpass</x:v>
      </x:c>
      <x:c r="U67" t="str">
        <x:v>Verify if your Hilton card is Surpass, no-fee, or Aspire</x:v>
      </x:c>
    </x:row>
    <x:row r="68">
      <x:c r="A68" t="str">
        <x:v>amex_hilton_p1_free_night_spend</x:v>
      </x:c>
      <x:c r="B68" t="str">
        <x:v>Person 1</x:v>
      </x:c>
      <x:c r="C68" t="str">
        <x:v>amex_hilton_p1</x:v>
      </x:c>
      <x:c r="D68" t="str">
        <x:v>Hilton Honors American Express Surpass (assumed)</x:v>
      </x:c>
      <x:c r="E68" t="str">
        <x:v>Free Night after $15K Spend</x:v>
      </x:c>
      <x:c r="F68" t="str">
        <x:v>Free Night</x:v>
      </x:c>
      <x:c r="G68" t="str">
        <x:v>Hotel</x:v>
      </x:c>
      <x:c r="H68" t="n">
        <x:v>250</x:v>
      </x:c>
      <x:c r="I68" t="n">
        <x:v>0</x:v>
      </x:c>
      <x:c r="J68" t="str">
        <x:v>Annual</x:v>
      </x:c>
      <x:c r="K68" t="str">
        <x:v>Calendar Year</x:v>
      </x:c>
      <x:c r="L68" t="str">
        <x:v>Dec 31</x:v>
      </x:c>
      <x:c r="M68" t="str"/>
      <x:c r="N68" t="n">
        <x:v>45</x:v>
      </x:c>
      <x:c r="O68" t="str">
        <x:v>Used/Unused</x:v>
      </x:c>
      <x:c r="P68" t="str">
        <x:v>Low</x:v>
      </x:c>
      <x:c r="Q68" t="str">
        <x:v>No</x:v>
      </x:c>
      <x:c r="R68" t="str">
        <x:v>Hard</x:v>
      </x:c>
      <x:c r="S68" t="str">
        <x:v>Assumed Surpass: earn Free Night Reward after $15K eligible spend in calendar year.</x:v>
      </x:c>
      <x:c r="T68" t="str">
        <x:v>https://global.americanexpress.com/card-benefits/detail/earn-free-weekend-night-15k/hilton-surpass</x:v>
      </x:c>
      <x:c r="U68" t="str">
        <x:v>Verify card type</x:v>
      </x:c>
    </x:row>
    <x:row r="69">
      <x:c r="A69" t="str">
        <x:v>usbank_altitude_reserve_p1_annual_credit</x:v>
      </x:c>
      <x:c r="B69" t="str">
        <x:v>Person 1</x:v>
      </x:c>
      <x:c r="C69" t="str">
        <x:v>usbank_altitude_reserve_p1</x:v>
      </x:c>
      <x:c r="D69" t="str">
        <x:v>U.S. Bank Altitude Reserve Visa Infinite</x:v>
      </x:c>
      <x:c r="E69" t="str">
        <x:v>Annual Travel / Dining Credit</x:v>
      </x:c>
      <x:c r="F69" t="str">
        <x:v>Credit</x:v>
      </x:c>
      <x:c r="G69" t="str">
        <x:v>Travel</x:v>
      </x:c>
      <x:c r="H69" t="n">
        <x:v>325</x:v>
      </x:c>
      <x:c r="I69" t="n">
        <x:v>325</x:v>
      </x:c>
      <x:c r="J69" t="str">
        <x:v>Annual</x:v>
      </x:c>
      <x:c r="K69" t="str">
        <x:v>Cardmember Year</x:v>
      </x:c>
      <x:c r="L69" t="str">
        <x:v>Card Anniversary</x:v>
      </x:c>
      <x:c r="M69" t="str"/>
      <x:c r="N69" t="n">
        <x:v>30</x:v>
      </x:c>
      <x:c r="O69" t="str">
        <x:v>Amount</x:v>
      </x:c>
      <x:c r="P69" t="str">
        <x:v>High</x:v>
      </x:c>
      <x:c r="Q69" t="str">
        <x:v>Yes</x:v>
      </x:c>
      <x:c r="R69" t="str">
        <x:v>Easy</x:v>
      </x:c>
      <x:c r="S69" t="str">
        <x:v>Official page lists $325 annual credit; terms may have changed for travel center eligibility.</x:v>
      </x:c>
      <x:c r="T69" t="str">
        <x:v>https://rewards.usbank.com/benefits/card/AltitudeReserveBenefits</x:v>
      </x:c>
      <x:c r="U69" t="str"/>
    </x:row>
    <x:row r="70">
      <x:c r="A70" t="str">
        <x:v>usbank_altitude_reserve_p1_priority_pass</x:v>
      </x:c>
      <x:c r="B70" t="str">
        <x:v>Person 1</x:v>
      </x:c>
      <x:c r="C70" t="str">
        <x:v>usbank_altitude_reserve_p1</x:v>
      </x:c>
      <x:c r="D70" t="str">
        <x:v>U.S. Bank Altitude Reserve Visa Infinite</x:v>
      </x:c>
      <x:c r="E70" t="str">
        <x:v>Priority Pass Visits</x:v>
      </x:c>
      <x:c r="F70" t="str">
        <x:v>Access</x:v>
      </x:c>
      <x:c r="G70" t="str">
        <x:v>Travel</x:v>
      </x:c>
      <x:c r="H70" t="n">
        <x:v>8</x:v>
      </x:c>
      <x:c r="I70" t="n">
        <x:v>80</x:v>
      </x:c>
      <x:c r="J70" t="str">
        <x:v>Annual</x:v>
      </x:c>
      <x:c r="K70" t="str">
        <x:v>Calendar Year</x:v>
      </x:c>
      <x:c r="L70" t="str">
        <x:v>Dec 31</x:v>
      </x:c>
      <x:c r="M70" t="str"/>
      <x:c r="N70" t="n">
        <x:v>30</x:v>
      </x:c>
      <x:c r="O70" t="str">
        <x:v>Count</x:v>
      </x:c>
      <x:c r="P70" t="str">
        <x:v>Medium</x:v>
      </x:c>
      <x:c r="Q70" t="str">
        <x:v>Yes</x:v>
      </x:c>
      <x:c r="R70" t="str">
        <x:v>Medium</x:v>
      </x:c>
      <x:c r="S70" t="str">
        <x:v>Track as count: 8 visits per year if you use lounge access.</x:v>
      </x:c>
      <x:c r="T70" t="str">
        <x:v>https://rewards.usbank.com/benefits/card/AltitudeReserveBenefits</x:v>
      </x:c>
      <x:c r="U70" t="str"/>
    </x:row>
    <x:row r="71">
      <x:c r="A71" t="str">
        <x:v>usbank_altitude_reserve_p1_global_entry</x:v>
      </x:c>
      <x:c r="B71" t="str">
        <x:v>Person 1</x:v>
      </x:c>
      <x:c r="C71" t="str">
        <x:v>usbank_altitude_reserve_p1</x:v>
      </x:c>
      <x:c r="D71" t="str">
        <x:v>U.S. Bank Altitude Reserve Visa Infinite</x:v>
      </x:c>
      <x:c r="E71" t="str">
        <x:v>Global Entry / TSA PreCheck</x:v>
      </x:c>
      <x:c r="F71" t="str">
        <x:v>Reimbursement</x:v>
      </x:c>
      <x:c r="G71" t="str">
        <x:v>Travel</x:v>
      </x:c>
      <x:c r="H71" t="n">
        <x:v>120</x:v>
      </x:c>
      <x:c r="I71" t="n">
        <x:v>100</x:v>
      </x:c>
      <x:c r="J71" t="str">
        <x:v>Custom</x:v>
      </x:c>
      <x:c r="K71" t="str">
        <x:v>Specific Date Range</x:v>
      </x:c>
      <x:c r="L71" t="str">
        <x:v>Specific Date</x:v>
      </x:c>
      <x:c r="M71" t="str"/>
      <x:c r="N71" t="n">
        <x:v>90</x:v>
      </x:c>
      <x:c r="O71" t="str">
        <x:v>Amount</x:v>
      </x:c>
      <x:c r="P71" t="str">
        <x:v>Low</x:v>
      </x:c>
      <x:c r="Q71" t="str">
        <x:v>No</x:v>
      </x:c>
      <x:c r="R71" t="str">
        <x:v>Easy</x:v>
      </x:c>
      <x:c r="S71" t="str">
        <x:v>Up to one application fee credit; manually set expiry when due.</x:v>
      </x:c>
      <x:c r="T71" t="str">
        <x:v>https://rewards.usbank.com/benefits/card/AltitudeReserveBenefits</x:v>
      </x:c>
      <x:c r="U71" t="str"/>
    </x:row>
  </x:sheetData>
  <x:dataValidations count="8">
    <x:dataValidation type="list" sqref="B2:B300">
      <x:formula1>Lists!$A$2:$A$4</x:formula1>
    </x:dataValidation>
    <x:dataValidation type="list" sqref="J2:J300">
      <x:formula1>Lists!$B$2:$B$7</x:formula1>
    </x:dataValidation>
    <x:dataValidation type="list" sqref="K2:K300">
      <x:formula1>Lists!$C$2:$C$8</x:formula1>
    </x:dataValidation>
    <x:dataValidation type="list" sqref="L2:L300">
      <x:formula1>Lists!$D$2:$D$7</x:formula1>
    </x:dataValidation>
    <x:dataValidation type="list" sqref="O2:O300">
      <x:formula1>Lists!$E$2:$E$5</x:formula1>
    </x:dataValidation>
    <x:dataValidation type="list" sqref="P2:P300">
      <x:formula1>Lists!$F$2:$F$4</x:formula1>
    </x:dataValidation>
    <x:dataValidation type="list" sqref="Q2:Q300">
      <x:formula1>Lists!$G$2:$G$3</x:formula1>
    </x:dataValidation>
    <x:dataValidation type="list" sqref="R2:R300">
      <x:formula1>Lists!$H$2:$H$4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cee0ed3cd46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34" hidden="0" customWidth="1"/>
    <x:col min="5" max="5" width="42" hidden="0" customWidth="1"/>
    <x:col min="6" max="6" width="36" hidden="0" customWidth="1"/>
    <x:col min="7" max="7" width="16" hidden="0" customWidth="1"/>
    <x:col min="8" max="8" width="18" hidden="0" customWidth="1"/>
    <x:col min="9" max="9" width="14" hidden="0" customWidth="1"/>
    <x:col min="10" max="10" width="22" hidden="0" customWidth="1"/>
    <x:col min="11" max="11" width="50" hidden="0" customWidth="1"/>
  </x:cols>
  <x:sheetData>
    <x:row r="1">
      <x:c r="A1" s="6" t="str">
        <x:v>Usage ID</x:v>
      </x:c>
      <x:c r="B1" s="16" t="str">
        <x:v>Date Used</x:v>
      </x:c>
      <x:c r="C1" s="6" t="str">
        <x:v>Owner</x:v>
      </x:c>
      <x:c r="D1" s="6" t="str">
        <x:v>Card ID</x:v>
      </x:c>
      <x:c r="E1" s="6" t="str">
        <x:v>Benefit ID</x:v>
      </x:c>
      <x:c r="F1" s="6" t="str">
        <x:v>Benefit Name</x:v>
      </x:c>
      <x:c r="G1" s="6" t="str">
        <x:v>Cycle Period</x:v>
      </x:c>
      <x:c r="H1" s="18" t="str">
        <x:v>Amount / Count Used</x:v>
      </x:c>
      <x:c r="I1" s="6" t="str">
        <x:v>Fully Used?</x:v>
      </x:c>
      <x:c r="J1" s="6" t="str">
        <x:v>Merchant</x:v>
      </x:c>
      <x:c r="K1" s="6" t="str">
        <x:v>Notes</x:v>
      </x:c>
    </x:row>
    <x:row r="2">
      <x:c r="A2" t="str">
        <x:v>EXAMPLE-001</x:v>
      </x:c>
      <x:c r="B2" t="n">
        <x:v>46144</x:v>
      </x:c>
      <x:c r="C2" t="str">
        <x:v>Person 1</x:v>
      </x:c>
      <x:c r="D2" t="str">
        <x:v>amex_gold_p1</x:v>
      </x:c>
      <x:c r="E2" t="str">
        <x:v>amex_gold_p1_uber_monthly</x:v>
      </x:c>
      <x:c r="F2" t="str">
        <x:v>Uber Cash</x:v>
      </x:c>
      <x:c r="G2" t="str">
        <x:v>2026-05</x:v>
      </x:c>
      <x:c r="H2" t="n">
        <x:v>10</x:v>
      </x:c>
      <x:c r="I2" t="str">
        <x:v>Yes</x:v>
      </x:c>
      <x:c r="J2" t="str">
        <x:v>Uber Eats</x:v>
      </x:c>
      <x:c r="K2" t="str">
        <x:v>Replace/delete this sample row.</x:v>
      </x:c>
    </x:row>
  </x:sheetData>
  <x:dataValidations count="2">
    <x:dataValidation type="list" sqref="C2:C500">
      <x:formula1>Lists!$A$2:$A$4</x:formula1>
    </x:dataValidation>
    <x:dataValidation type="list" sqref="I2:I500">
      <x:formula1>Lists!$J$2:$J$3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e85ae0d9964c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38" hidden="0" customWidth="1"/>
    <x:col min="4" max="4" width="38" hidden="0" customWidth="1"/>
    <x:col min="5" max="5" width="14" hidden="0" customWidth="1"/>
    <x:col min="6" max="6" width="18" hidden="0" customWidth="1"/>
    <x:col min="7" max="7" width="14" hidden="0" customWidth="1"/>
    <x:col min="8" max="8" width="16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6" hidden="0" customWidth="1"/>
    <x:col min="14" max="14" width="14" hidden="0" customWidth="1"/>
    <x:col min="15" max="15" width="12" hidden="0" customWidth="1"/>
    <x:col min="16" max="16" width="14" hidden="0" customWidth="1"/>
    <x:col min="17" max="17" width="55" hidden="0" customWidth="1"/>
  </x:cols>
  <x:sheetData>
    <x:row r="1">
      <x:c r="A1" s="6" t="str">
        <x:v>Benefit ID</x:v>
      </x:c>
      <x:c r="B1" s="6" t="str">
        <x:v>Owner</x:v>
      </x:c>
      <x:c r="C1" s="6" t="str">
        <x:v>Card Name</x:v>
      </x:c>
      <x:c r="D1" s="6" t="str">
        <x:v>Benefit Name</x:v>
      </x:c>
      <x:c r="E1" s="6" t="str">
        <x:v>Frequency</x:v>
      </x:c>
      <x:c r="F1" s="6" t="str">
        <x:v>Cycle Rule</x:v>
      </x:c>
      <x:c r="G1" s="6" t="str">
        <x:v>Current Cycle</x:v>
      </x:c>
      <x:c r="H1" s="16" t="str">
        <x:v>Expiry Date</x:v>
      </x:c>
      <x:c r="I1" s="14" t="str">
        <x:v>Face Value</x:v>
      </x:c>
      <x:c r="J1" s="14" t="str">
        <x:v>Amount / Count Used</x:v>
      </x:c>
      <x:c r="K1" s="14" t="str">
        <x:v>Remaining</x:v>
      </x:c>
      <x:c r="L1" s="20" t="str">
        <x:v>Usage %</x:v>
      </x:c>
      <x:c r="M1" s="6" t="str">
        <x:v>Status</x:v>
      </x:c>
      <x:c r="N1" s="6" t="str">
        <x:v>Days Until Expiry</x:v>
      </x:c>
      <x:c r="O1" s="6" t="str">
        <x:v>Priority</x:v>
      </x:c>
      <x:c r="P1" s="6" t="str">
        <x:v>Include in Alert?</x:v>
      </x:c>
      <x:c r="Q1" s="6" t="str">
        <x:v>Notes</x:v>
      </x:c>
    </x:row>
    <x:row r="2">
      <x:c r="A2" t="str">
        <x:f>IF('Benefits Master'!A2="","",'Benefits Master'!A2)</x:f>
        <x:v>amex_gold_p1_uber_monthly</x:v>
      </x:c>
      <x:c r="B2" t="str">
        <x:f>IF(A2="","",'Benefits Master'!B2)</x:f>
        <x:v>Person 1</x:v>
      </x:c>
      <x:c r="C2" t="str">
        <x:f>IF(A2="","",'Benefits Master'!D2)</x:f>
        <x:v>American Express Gold Card</x:v>
      </x:c>
      <x:c r="D2" t="str">
        <x:f>IF(A2="","",'Benefits Master'!E2)</x:f>
        <x:v>Uber Cash</x:v>
      </x:c>
      <x:c r="E2" t="str">
        <x:f>IF(A2="","",'Benefits Master'!J2)</x:f>
        <x:v>Monthly</x:v>
      </x:c>
      <x:c r="F2" t="str">
        <x:f>IF(A2="","",'Benefits Master'!K2)</x:f>
        <x:v>Calendar Month</x:v>
      </x:c>
      <x:c r="G2" t="str">
        <x:f>IF(A2="","",IF(F2="Jan-Jun",YEAR(TODAY())&amp;"-H1",IF(F2="Jul-Dec",YEAR(TODAY())&amp;"-H2",IF(E2="Monthly",TEXT(TODAY(),"yyyy-mm"),IF(E2="Quarterly",YEAR(TODAY())&amp;"-Q"&amp;ROUNDUP(MONTH(TODAY())/3,0),IF(E2="Semiannual",IF(MONTH(TODAY())&lt;=6,YEAR(TODAY())&amp;"-H1",YEAR(TODAY())&amp;"-H2"),IF(E2="Annual",YEAR(TODAY()),IF(E2="One-time","One-time","Custom"))))))))</x:f>
        <x:v>2026-05</x:v>
      </x:c>
      <x:c r="H2" t="n">
        <x:f>IF(A2="","",IF('Benefits Master'!M2&lt;&gt;"",'Benefits Master'!M2,IF('Benefits Master'!L2="End of Month",EOMONTH(TODAY(),0),IF('Benefits Master'!L2="End of Quarter",EOMONTH(DATE(YEAR(TODAY()),ROUNDUP(MONTH(TODAY())/3,0)*3,1),0),IF('Benefits Master'!L2="June 30",DATE(YEAR(TODAY()),6,30),IF('Benefits Master'!L2="Dec 31",DATE(YEAR(TODAY()),12,31),IF('Benefits Master'!L2="Card Anniversary","Enter open date",IF('Benefits Master'!L2="Specific Date","Set specific date",DATE(YEAR(TODAY()),12,31)))))))))</x:f>
        <x:v>46173</x:v>
      </x:c>
      <x:c r="I2" t="n">
        <x:f>IF(A2="","",'Benefits Master'!H2)</x:f>
        <x:v>10</x:v>
      </x:c>
      <x:c r="J2" t="n">
        <x:f>IF(A2="","",SUMIFS('Benefit Usage Log'!$H:$H,'Benefit Usage Log'!$E:$E,A2,'Benefit Usage Log'!$G:$G,G2))</x:f>
        <x:v>10</x:v>
      </x:c>
      <x:c r="K2" t="n">
        <x:f>IF(A2="","",MAX(0,I2-J2))</x:f>
        <x:v>0</x:v>
      </x:c>
      <x:c r="L2" t="n">
        <x:f>IF(A2="","",IF(I2=0,0,MIN(1,J2/I2)))</x:f>
        <x:v>1</x:v>
      </x:c>
      <x:c r="M2" t="str">
        <x:f>IF(A2="","",IF(ISNUMBER(H2)=FALSE,"Review Terms",IF(J2&gt;=I2,"Used",IF(AND(J2&gt;0,J2&lt;I2,H2&lt;TODAY()),"Missed",IF(AND(J2=0,H2&lt;TODAY()),"Missed",IF(AND(I2-J2&gt;0,H2-TODAY()&lt;='Benefits Master'!N2),"Expiring Soon",IF(J2&gt;0,"Partially Used","Not Used")))))))</x:f>
        <x:v>Used</x:v>
      </x:c>
      <x:c r="N2" t="n">
        <x:f>IF(A2="","",IF(ISNUMBER(H2),H2-TODAY(),""))</x:f>
        <x:v>29</x:v>
      </x:c>
      <x:c r="O2" t="str">
        <x:f>IF(A2="","",'Benefits Master'!P2)</x:f>
        <x:v>High</x:v>
      </x:c>
      <x:c r="P2" t="str">
        <x:f>IF(A2="","",'Benefits Master'!Q2)</x:f>
        <x:v>Yes</x:v>
      </x:c>
      <x:c r="Q2" t="str">
        <x:f>IF(A2="","",'Benefits Master'!S2)</x:f>
        <x:v>$10 monthly Uber Cash; add card to Uber account.</x:v>
      </x:c>
    </x:row>
    <x:row r="3">
      <x:c r="A3" t="str">
        <x:f>IF('Benefits Master'!A3="","",'Benefits Master'!A3)</x:f>
        <x:v>amex_gold_p1_dining_monthly</x:v>
      </x:c>
      <x:c r="B3" t="str">
        <x:f>IF(A3="","",'Benefits Master'!B3)</x:f>
        <x:v>Person 1</x:v>
      </x:c>
      <x:c r="C3" t="str">
        <x:f>IF(A3="","",'Benefits Master'!D3)</x:f>
        <x:v>American Express Gold Card</x:v>
      </x:c>
      <x:c r="D3" t="str">
        <x:f>IF(A3="","",'Benefits Master'!E3)</x:f>
        <x:v>Dining Credit</x:v>
      </x:c>
      <x:c r="E3" t="str">
        <x:f>IF(A3="","",'Benefits Master'!J3)</x:f>
        <x:v>Monthly</x:v>
      </x:c>
      <x:c r="F3" t="str">
        <x:f>IF(A3="","",'Benefits Master'!K3)</x:f>
        <x:v>Calendar Month</x:v>
      </x:c>
      <x:c r="G3" t="str">
        <x:f>IF(A3="","",IF(F3="Jan-Jun",YEAR(TODAY())&amp;"-H1",IF(F3="Jul-Dec",YEAR(TODAY())&amp;"-H2",IF(E3="Monthly",TEXT(TODAY(),"yyyy-mm"),IF(E3="Quarterly",YEAR(TODAY())&amp;"-Q"&amp;ROUNDUP(MONTH(TODAY())/3,0),IF(E3="Semiannual",IF(MONTH(TODAY())&lt;=6,YEAR(TODAY())&amp;"-H1",YEAR(TODAY())&amp;"-H2"),IF(E3="Annual",YEAR(TODAY()),IF(E3="One-time","One-time","Custom"))))))))</x:f>
        <x:v>2026-05</x:v>
      </x:c>
      <x:c r="H3" t="n">
        <x:f>IF(A3="","",IF('Benefits Master'!M3&lt;&gt;"",'Benefits Master'!M3,IF('Benefits Master'!L3="End of Month",EOMONTH(TODAY(),0),IF('Benefits Master'!L3="End of Quarter",EOMONTH(DATE(YEAR(TODAY()),ROUNDUP(MONTH(TODAY())/3,0)*3,1),0),IF('Benefits Master'!L3="June 30",DATE(YEAR(TODAY()),6,30),IF('Benefits Master'!L3="Dec 31",DATE(YEAR(TODAY()),12,31),IF('Benefits Master'!L3="Card Anniversary","Enter open date",IF('Benefits Master'!L3="Specific Date","Set specific date",DATE(YEAR(TODAY()),12,31)))))))))</x:f>
        <x:v>46173</x:v>
      </x:c>
      <x:c r="I3" t="n">
        <x:f>IF(A3="","",'Benefits Master'!H3)</x:f>
        <x:v>10</x:v>
      </x:c>
      <x:c r="J3" t="n">
        <x:f>IF(A3="","",SUMIFS('Benefit Usage Log'!$H:$H,'Benefit Usage Log'!$E:$E,A3,'Benefit Usage Log'!$G:$G,G3))</x:f>
        <x:v>0</x:v>
      </x:c>
      <x:c r="K3" t="n">
        <x:f>IF(A3="","",MAX(0,I3-J3))</x:f>
        <x:v>10</x:v>
      </x:c>
      <x:c r="L3" t="n">
        <x:f>IF(A3="","",IF(I3=0,0,MIN(1,J3/I3)))</x:f>
        <x:v>0</x:v>
      </x:c>
      <x:c r="M3" t="str">
        <x:f>IF(A3="","",IF(ISNUMBER(H3)=FALSE,"Review Terms",IF(J3&gt;=I3,"Used",IF(AND(J3&gt;0,J3&lt;I3,H3&lt;TODAY()),"Missed",IF(AND(J3=0,H3&lt;TODAY()),"Missed",IF(AND(I3-J3&gt;0,H3-TODAY()&lt;='Benefits Master'!N3),"Expiring Soon",IF(J3&gt;0,"Partially Used","Not Used")))))))</x:f>
        <x:v>Not Used</x:v>
      </x:c>
      <x:c r="N3" t="n">
        <x:f>IF(A3="","",IF(ISNUMBER(H3),H3-TODAY(),""))</x:f>
        <x:v>29</x:v>
      </x:c>
      <x:c r="O3" t="str">
        <x:f>IF(A3="","",'Benefits Master'!P3)</x:f>
        <x:v>High</x:v>
      </x:c>
      <x:c r="P3" t="str">
        <x:f>IF(A3="","",'Benefits Master'!Q3)</x:f>
        <x:v>Yes</x:v>
      </x:c>
      <x:c r="Q3" t="str">
        <x:f>IF(A3="","",'Benefits Master'!S3)</x:f>
        <x:v>Monthly dining statement credit at eligible partners; enrollment required.</x:v>
      </x:c>
    </x:row>
    <x:row r="4">
      <x:c r="A4" t="str">
        <x:f>IF('Benefits Master'!A4="","",'Benefits Master'!A4)</x:f>
        <x:v>amex_gold_p1_dunkin_monthly</x:v>
      </x:c>
      <x:c r="B4" t="str">
        <x:f>IF(A4="","",'Benefits Master'!B4)</x:f>
        <x:v>Person 1</x:v>
      </x:c>
      <x:c r="C4" t="str">
        <x:f>IF(A4="","",'Benefits Master'!D4)</x:f>
        <x:v>American Express Gold Card</x:v>
      </x:c>
      <x:c r="D4" t="str">
        <x:f>IF(A4="","",'Benefits Master'!E4)</x:f>
        <x:v>Dunkin Credit</x:v>
      </x:c>
      <x:c r="E4" t="str">
        <x:f>IF(A4="","",'Benefits Master'!J4)</x:f>
        <x:v>Monthly</x:v>
      </x:c>
      <x:c r="F4" t="str">
        <x:f>IF(A4="","",'Benefits Master'!K4)</x:f>
        <x:v>Calendar Month</x:v>
      </x:c>
      <x:c r="G4" t="str">
        <x:f>IF(A4="","",IF(F4="Jan-Jun",YEAR(TODAY())&amp;"-H1",IF(F4="Jul-Dec",YEAR(TODAY())&amp;"-H2",IF(E4="Monthly",TEXT(TODAY(),"yyyy-mm"),IF(E4="Quarterly",YEAR(TODAY())&amp;"-Q"&amp;ROUNDUP(MONTH(TODAY())/3,0),IF(E4="Semiannual",IF(MONTH(TODAY())&lt;=6,YEAR(TODAY())&amp;"-H1",YEAR(TODAY())&amp;"-H2"),IF(E4="Annual",YEAR(TODAY()),IF(E4="One-time","One-time","Custom"))))))))</x:f>
        <x:v>2026-05</x:v>
      </x:c>
      <x:c r="H4" t="n">
        <x:f>IF(A4="","",IF('Benefits Master'!M4&lt;&gt;"",'Benefits Master'!M4,IF('Benefits Master'!L4="End of Month",EOMONTH(TODAY(),0),IF('Benefits Master'!L4="End of Quarter",EOMONTH(DATE(YEAR(TODAY()),ROUNDUP(MONTH(TODAY())/3,0)*3,1),0),IF('Benefits Master'!L4="June 30",DATE(YEAR(TODAY()),6,30),IF('Benefits Master'!L4="Dec 31",DATE(YEAR(TODAY()),12,31),IF('Benefits Master'!L4="Card Anniversary","Enter open date",IF('Benefits Master'!L4="Specific Date","Set specific date",DATE(YEAR(TODAY()),12,31)))))))))</x:f>
        <x:v>46173</x:v>
      </x:c>
      <x:c r="I4" t="n">
        <x:f>IF(A4="","",'Benefits Master'!H4)</x:f>
        <x:v>7</x:v>
      </x:c>
      <x:c r="J4" t="n">
        <x:f>IF(A4="","",SUMIFS('Benefit Usage Log'!$H:$H,'Benefit Usage Log'!$E:$E,A4,'Benefit Usage Log'!$G:$G,G4))</x:f>
        <x:v>0</x:v>
      </x:c>
      <x:c r="K4" t="n">
        <x:f>IF(A4="","",MAX(0,I4-J4))</x:f>
        <x:v>7</x:v>
      </x:c>
      <x:c r="L4" t="n">
        <x:f>IF(A4="","",IF(I4=0,0,MIN(1,J4/I4)))</x:f>
        <x:v>0</x:v>
      </x:c>
      <x:c r="M4" t="str">
        <x:f>IF(A4="","",IF(ISNUMBER(H4)=FALSE,"Review Terms",IF(J4&gt;=I4,"Used",IF(AND(J4&gt;0,J4&lt;I4,H4&lt;TODAY()),"Missed",IF(AND(J4=0,H4&lt;TODAY()),"Missed",IF(AND(I4-J4&gt;0,H4-TODAY()&lt;='Benefits Master'!N4),"Expiring Soon",IF(J4&gt;0,"Partially Used","Not Used")))))))</x:f>
        <x:v>Not Used</x:v>
      </x:c>
      <x:c r="N4" t="n">
        <x:f>IF(A4="","",IF(ISNUMBER(H4),H4-TODAY(),""))</x:f>
        <x:v>29</x:v>
      </x:c>
      <x:c r="O4" t="str">
        <x:f>IF(A4="","",'Benefits Master'!P4)</x:f>
        <x:v>Medium</x:v>
      </x:c>
      <x:c r="P4" t="str">
        <x:f>IF(A4="","",'Benefits Master'!Q4)</x:f>
        <x:v>Yes</x:v>
      </x:c>
      <x:c r="Q4" t="str">
        <x:f>IF(A4="","",'Benefits Master'!S4)</x:f>
        <x:v>Up to $7 monthly at U.S. Dunkin locations; enrollment required.</x:v>
      </x:c>
    </x:row>
    <x:row r="5">
      <x:c r="A5" t="str">
        <x:f>IF('Benefits Master'!A5="","",'Benefits Master'!A5)</x:f>
        <x:v>amex_gold_p1_resy_h1</x:v>
      </x:c>
      <x:c r="B5" t="str">
        <x:f>IF(A5="","",'Benefits Master'!B5)</x:f>
        <x:v>Person 1</x:v>
      </x:c>
      <x:c r="C5" t="str">
        <x:f>IF(A5="","",'Benefits Master'!D5)</x:f>
        <x:v>American Express Gold Card</x:v>
      </x:c>
      <x:c r="D5" t="str">
        <x:f>IF(A5="","",'Benefits Master'!E5)</x:f>
        <x:v>Resy Credit H1</x:v>
      </x:c>
      <x:c r="E5" t="str">
        <x:f>IF(A5="","",'Benefits Master'!J5)</x:f>
        <x:v>Semiannual</x:v>
      </x:c>
      <x:c r="F5" t="str">
        <x:f>IF(A5="","",'Benefits Master'!K5)</x:f>
        <x:v>Jan-Jun</x:v>
      </x:c>
      <x:c r="G5" t="str">
        <x:f>IF(A5="","",IF(F5="Jan-Jun",YEAR(TODAY())&amp;"-H1",IF(F5="Jul-Dec",YEAR(TODAY())&amp;"-H2",IF(E5="Monthly",TEXT(TODAY(),"yyyy-mm"),IF(E5="Quarterly",YEAR(TODAY())&amp;"-Q"&amp;ROUNDUP(MONTH(TODAY())/3,0),IF(E5="Semiannual",IF(MONTH(TODAY())&lt;=6,YEAR(TODAY())&amp;"-H1",YEAR(TODAY())&amp;"-H2"),IF(E5="Annual",YEAR(TODAY()),IF(E5="One-time","One-time","Custom"))))))))</x:f>
        <x:v>2026-H1</x:v>
      </x:c>
      <x:c r="H5" t="n">
        <x:f>IF(A5="","",IF('Benefits Master'!M5&lt;&gt;"",'Benefits Master'!M5,IF('Benefits Master'!L5="End of Month",EOMONTH(TODAY(),0),IF('Benefits Master'!L5="End of Quarter",EOMONTH(DATE(YEAR(TODAY()),ROUNDUP(MONTH(TODAY())/3,0)*3,1),0),IF('Benefits Master'!L5="June 30",DATE(YEAR(TODAY()),6,30),IF('Benefits Master'!L5="Dec 31",DATE(YEAR(TODAY()),12,31),IF('Benefits Master'!L5="Card Anniversary","Enter open date",IF('Benefits Master'!L5="Specific Date","Set specific date",DATE(YEAR(TODAY()),12,31)))))))))</x:f>
        <x:v>46203</x:v>
      </x:c>
      <x:c r="I5" t="n">
        <x:f>IF(A5="","",'Benefits Master'!H5)</x:f>
        <x:v>50</x:v>
      </x:c>
      <x:c r="J5" t="n">
        <x:f>IF(A5="","",SUMIFS('Benefit Usage Log'!$H:$H,'Benefit Usage Log'!$E:$E,A5,'Benefit Usage Log'!$G:$G,G5))</x:f>
        <x:v>0</x:v>
      </x:c>
      <x:c r="K5" t="n">
        <x:f>IF(A5="","",MAX(0,I5-J5))</x:f>
        <x:v>50</x:v>
      </x:c>
      <x:c r="L5" t="n">
        <x:f>IF(A5="","",IF(I5=0,0,MIN(1,J5/I5)))</x:f>
        <x:v>0</x:v>
      </x:c>
      <x:c r="M5" t="str">
        <x:f>IF(A5="","",IF(ISNUMBER(H5)=FALSE,"Review Terms",IF(J5&gt;=I5,"Used",IF(AND(J5&gt;0,J5&lt;I5,H5&lt;TODAY()),"Missed",IF(AND(J5=0,H5&lt;TODAY()),"Missed",IF(AND(I5-J5&gt;0,H5-TODAY()&lt;='Benefits Master'!N5),"Expiring Soon",IF(J5&gt;0,"Partially Used","Not Used")))))))</x:f>
        <x:v>Not Used</x:v>
      </x:c>
      <x:c r="N5" t="n">
        <x:f>IF(A5="","",IF(ISNUMBER(H5),H5-TODAY(),""))</x:f>
        <x:v>59</x:v>
      </x:c>
      <x:c r="O5" t="str">
        <x:f>IF(A5="","",'Benefits Master'!P5)</x:f>
        <x:v>Medium</x:v>
      </x:c>
      <x:c r="P5" t="str">
        <x:f>IF(A5="","",'Benefits Master'!Q5)</x:f>
        <x:v>Yes</x:v>
      </x:c>
      <x:c r="Q5" t="str">
        <x:f>IF(A5="","",'Benefits Master'!S5)</x:f>
        <x:v>Up to $50 semi-annually on eligible Resy purchases.</x:v>
      </x:c>
    </x:row>
    <x:row r="6">
      <x:c r="A6" t="str">
        <x:f>IF('Benefits Master'!A6="","",'Benefits Master'!A6)</x:f>
        <x:v>amex_gold_p1_resy_h2</x:v>
      </x:c>
      <x:c r="B6" t="str">
        <x:f>IF(A6="","",'Benefits Master'!B6)</x:f>
        <x:v>Person 1</x:v>
      </x:c>
      <x:c r="C6" t="str">
        <x:f>IF(A6="","",'Benefits Master'!D6)</x:f>
        <x:v>American Express Gold Card</x:v>
      </x:c>
      <x:c r="D6" t="str">
        <x:f>IF(A6="","",'Benefits Master'!E6)</x:f>
        <x:v>Resy Credit H2</x:v>
      </x:c>
      <x:c r="E6" t="str">
        <x:f>IF(A6="","",'Benefits Master'!J6)</x:f>
        <x:v>Semiannual</x:v>
      </x:c>
      <x:c r="F6" t="str">
        <x:f>IF(A6="","",'Benefits Master'!K6)</x:f>
        <x:v>Jul-Dec</x:v>
      </x:c>
      <x:c r="G6" t="str">
        <x:f>IF(A6="","",IF(F6="Jan-Jun",YEAR(TODAY())&amp;"-H1",IF(F6="Jul-Dec",YEAR(TODAY())&amp;"-H2",IF(E6="Monthly",TEXT(TODAY(),"yyyy-mm"),IF(E6="Quarterly",YEAR(TODAY())&amp;"-Q"&amp;ROUNDUP(MONTH(TODAY())/3,0),IF(E6="Semiannual",IF(MONTH(TODAY())&lt;=6,YEAR(TODAY())&amp;"-H1",YEAR(TODAY())&amp;"-H2"),IF(E6="Annual",YEAR(TODAY()),IF(E6="One-time","One-time","Custom"))))))))</x:f>
        <x:v>2026-H2</x:v>
      </x:c>
      <x:c r="H6" t="n">
        <x:f>IF(A6="","",IF('Benefits Master'!M6&lt;&gt;"",'Benefits Master'!M6,IF('Benefits Master'!L6="End of Month",EOMONTH(TODAY(),0),IF('Benefits Master'!L6="End of Quarter",EOMONTH(DATE(YEAR(TODAY()),ROUNDUP(MONTH(TODAY())/3,0)*3,1),0),IF('Benefits Master'!L6="June 30",DATE(YEAR(TODAY()),6,30),IF('Benefits Master'!L6="Dec 31",DATE(YEAR(TODAY()),12,31),IF('Benefits Master'!L6="Card Anniversary","Enter open date",IF('Benefits Master'!L6="Specific Date","Set specific date",DATE(YEAR(TODAY()),12,31)))))))))</x:f>
        <x:v>46387</x:v>
      </x:c>
      <x:c r="I6" t="n">
        <x:f>IF(A6="","",'Benefits Master'!H6)</x:f>
        <x:v>50</x:v>
      </x:c>
      <x:c r="J6" t="n">
        <x:f>IF(A6="","",SUMIFS('Benefit Usage Log'!$H:$H,'Benefit Usage Log'!$E:$E,A6,'Benefit Usage Log'!$G:$G,G6))</x:f>
        <x:v>0</x:v>
      </x:c>
      <x:c r="K6" t="n">
        <x:f>IF(A6="","",MAX(0,I6-J6))</x:f>
        <x:v>50</x:v>
      </x:c>
      <x:c r="L6" t="n">
        <x:f>IF(A6="","",IF(I6=0,0,MIN(1,J6/I6)))</x:f>
        <x:v>0</x:v>
      </x:c>
      <x:c r="M6" t="str">
        <x:f>IF(A6="","",IF(ISNUMBER(H6)=FALSE,"Review Terms",IF(J6&gt;=I6,"Used",IF(AND(J6&gt;0,J6&lt;I6,H6&lt;TODAY()),"Missed",IF(AND(J6=0,H6&lt;TODAY()),"Missed",IF(AND(I6-J6&gt;0,H6-TODAY()&lt;='Benefits Master'!N6),"Expiring Soon",IF(J6&gt;0,"Partially Used","Not Used")))))))</x:f>
        <x:v>Not Used</x:v>
      </x:c>
      <x:c r="N6" t="n">
        <x:f>IF(A6="","",IF(ISNUMBER(H6),H6-TODAY(),""))</x:f>
        <x:v>243</x:v>
      </x:c>
      <x:c r="O6" t="str">
        <x:f>IF(A6="","",'Benefits Master'!P6)</x:f>
        <x:v>Medium</x:v>
      </x:c>
      <x:c r="P6" t="str">
        <x:f>IF(A6="","",'Benefits Master'!Q6)</x:f>
        <x:v>Yes</x:v>
      </x:c>
      <x:c r="Q6" t="str">
        <x:f>IF(A6="","",'Benefits Master'!S6)</x:f>
        <x:v>Up to $50 semi-annually on eligible Resy purchases.</x:v>
      </x:c>
    </x:row>
    <x:row r="7">
      <x:c r="A7" t="str">
        <x:f>IF('Benefits Master'!A7="","",'Benefits Master'!A7)</x:f>
        <x:v>amex_platinum_p1_uber_monthly</x:v>
      </x:c>
      <x:c r="B7" t="str">
        <x:f>IF(A7="","",'Benefits Master'!B7)</x:f>
        <x:v>Person 1</x:v>
      </x:c>
      <x:c r="C7" t="str">
        <x:f>IF(A7="","",'Benefits Master'!D7)</x:f>
        <x:v>American Express Platinum Card</x:v>
      </x:c>
      <x:c r="D7" t="str">
        <x:f>IF(A7="","",'Benefits Master'!E7)</x:f>
        <x:v>Uber Cash</x:v>
      </x:c>
      <x:c r="E7" t="str">
        <x:f>IF(A7="","",'Benefits Master'!J7)</x:f>
        <x:v>Monthly</x:v>
      </x:c>
      <x:c r="F7" t="str">
        <x:f>IF(A7="","",'Benefits Master'!K7)</x:f>
        <x:v>Calendar Month</x:v>
      </x:c>
      <x:c r="G7" t="str">
        <x:f>IF(A7="","",IF(F7="Jan-Jun",YEAR(TODAY())&amp;"-H1",IF(F7="Jul-Dec",YEAR(TODAY())&amp;"-H2",IF(E7="Monthly",TEXT(TODAY(),"yyyy-mm"),IF(E7="Quarterly",YEAR(TODAY())&amp;"-Q"&amp;ROUNDUP(MONTH(TODAY())/3,0),IF(E7="Semiannual",IF(MONTH(TODAY())&lt;=6,YEAR(TODAY())&amp;"-H1",YEAR(TODAY())&amp;"-H2"),IF(E7="Annual",YEAR(TODAY()),IF(E7="One-time","One-time","Custom"))))))))</x:f>
        <x:v>2026-05</x:v>
      </x:c>
      <x:c r="H7" t="n">
        <x:f>IF(A7="","",IF('Benefits Master'!M7&lt;&gt;"",'Benefits Master'!M7,IF('Benefits Master'!L7="End of Month",EOMONTH(TODAY(),0),IF('Benefits Master'!L7="End of Quarter",EOMONTH(DATE(YEAR(TODAY()),ROUNDUP(MONTH(TODAY())/3,0)*3,1),0),IF('Benefits Master'!L7="June 30",DATE(YEAR(TODAY()),6,30),IF('Benefits Master'!L7="Dec 31",DATE(YEAR(TODAY()),12,31),IF('Benefits Master'!L7="Card Anniversary","Enter open date",IF('Benefits Master'!L7="Specific Date","Set specific date",DATE(YEAR(TODAY()),12,31)))))))))</x:f>
        <x:v>46173</x:v>
      </x:c>
      <x:c r="I7" t="n">
        <x:f>IF(A7="","",'Benefits Master'!H7)</x:f>
        <x:v>15</x:v>
      </x:c>
      <x:c r="J7" t="n">
        <x:f>IF(A7="","",SUMIFS('Benefit Usage Log'!$H:$H,'Benefit Usage Log'!$E:$E,A7,'Benefit Usage Log'!$G:$G,G7))</x:f>
        <x:v>0</x:v>
      </x:c>
      <x:c r="K7" t="n">
        <x:f>IF(A7="","",MAX(0,I7-J7))</x:f>
        <x:v>15</x:v>
      </x:c>
      <x:c r="L7" t="n">
        <x:f>IF(A7="","",IF(I7=0,0,MIN(1,J7/I7)))</x:f>
        <x:v>0</x:v>
      </x:c>
      <x:c r="M7" t="str">
        <x:f>IF(A7="","",IF(ISNUMBER(H7)=FALSE,"Review Terms",IF(J7&gt;=I7,"Used",IF(AND(J7&gt;0,J7&lt;I7,H7&lt;TODAY()),"Missed",IF(AND(J7=0,H7&lt;TODAY()),"Missed",IF(AND(I7-J7&gt;0,H7-TODAY()&lt;='Benefits Master'!N7),"Expiring Soon",IF(J7&gt;0,"Partially Used","Not Used")))))))</x:f>
        <x:v>Not Used</x:v>
      </x:c>
      <x:c r="N7" t="n">
        <x:f>IF(A7="","",IF(ISNUMBER(H7),H7-TODAY(),""))</x:f>
        <x:v>29</x:v>
      </x:c>
      <x:c r="O7" t="str">
        <x:f>IF(A7="","",'Benefits Master'!P7)</x:f>
        <x:v>High</x:v>
      </x:c>
      <x:c r="P7" t="str">
        <x:f>IF(A7="","",'Benefits Master'!Q7)</x:f>
        <x:v>Yes</x:v>
      </x:c>
      <x:c r="Q7" t="str">
        <x:f>IF(A7="","",'Benefits Master'!S7)</x:f>
        <x:v>$15 monthly Uber Cash; December typically has bonus cash.</x:v>
      </x:c>
    </x:row>
    <x:row r="8">
      <x:c r="A8" t="str">
        <x:f>IF('Benefits Master'!A8="","",'Benefits Master'!A8)</x:f>
        <x:v>amex_platinum_p1_digital_entertainment</x:v>
      </x:c>
      <x:c r="B8" t="str">
        <x:f>IF(A8="","",'Benefits Master'!B8)</x:f>
        <x:v>Person 1</x:v>
      </x:c>
      <x:c r="C8" t="str">
        <x:f>IF(A8="","",'Benefits Master'!D8)</x:f>
        <x:v>American Express Platinum Card</x:v>
      </x:c>
      <x:c r="D8" t="str">
        <x:f>IF(A8="","",'Benefits Master'!E8)</x:f>
        <x:v>Digital Entertainment Credit</x:v>
      </x:c>
      <x:c r="E8" t="str">
        <x:f>IF(A8="","",'Benefits Master'!J8)</x:f>
        <x:v>Monthly</x:v>
      </x:c>
      <x:c r="F8" t="str">
        <x:f>IF(A8="","",'Benefits Master'!K8)</x:f>
        <x:v>Calendar Month</x:v>
      </x:c>
      <x:c r="G8" t="str">
        <x:f>IF(A8="","",IF(F8="Jan-Jun",YEAR(TODAY())&amp;"-H1",IF(F8="Jul-Dec",YEAR(TODAY())&amp;"-H2",IF(E8="Monthly",TEXT(TODAY(),"yyyy-mm"),IF(E8="Quarterly",YEAR(TODAY())&amp;"-Q"&amp;ROUNDUP(MONTH(TODAY())/3,0),IF(E8="Semiannual",IF(MONTH(TODAY())&lt;=6,YEAR(TODAY())&amp;"-H1",YEAR(TODAY())&amp;"-H2"),IF(E8="Annual",YEAR(TODAY()),IF(E8="One-time","One-time","Custom"))))))))</x:f>
        <x:v>2026-05</x:v>
      </x:c>
      <x:c r="H8" t="n">
        <x:f>IF(A8="","",IF('Benefits Master'!M8&lt;&gt;"",'Benefits Master'!M8,IF('Benefits Master'!L8="End of Month",EOMONTH(TODAY(),0),IF('Benefits Master'!L8="End of Quarter",EOMONTH(DATE(YEAR(TODAY()),ROUNDUP(MONTH(TODAY())/3,0)*3,1),0),IF('Benefits Master'!L8="June 30",DATE(YEAR(TODAY()),6,30),IF('Benefits Master'!L8="Dec 31",DATE(YEAR(TODAY()),12,31),IF('Benefits Master'!L8="Card Anniversary","Enter open date",IF('Benefits Master'!L8="Specific Date","Set specific date",DATE(YEAR(TODAY()),12,31)))))))))</x:f>
        <x:v>46173</x:v>
      </x:c>
      <x:c r="I8" t="n">
        <x:f>IF(A8="","",'Benefits Master'!H8)</x:f>
        <x:v>25</x:v>
      </x:c>
      <x:c r="J8" t="n">
        <x:f>IF(A8="","",SUMIFS('Benefit Usage Log'!$H:$H,'Benefit Usage Log'!$E:$E,A8,'Benefit Usage Log'!$G:$G,G8))</x:f>
        <x:v>0</x:v>
      </x:c>
      <x:c r="K8" t="n">
        <x:f>IF(A8="","",MAX(0,I8-J8))</x:f>
        <x:v>25</x:v>
      </x:c>
      <x:c r="L8" t="n">
        <x:f>IF(A8="","",IF(I8=0,0,MIN(1,J8/I8)))</x:f>
        <x:v>0</x:v>
      </x:c>
      <x:c r="M8" t="str">
        <x:f>IF(A8="","",IF(ISNUMBER(H8)=FALSE,"Review Terms",IF(J8&gt;=I8,"Used",IF(AND(J8&gt;0,J8&lt;I8,H8&lt;TODAY()),"Missed",IF(AND(J8=0,H8&lt;TODAY()),"Missed",IF(AND(I8-J8&gt;0,H8-TODAY()&lt;='Benefits Master'!N8),"Expiring Soon",IF(J8&gt;0,"Partially Used","Not Used")))))))</x:f>
        <x:v>Not Used</x:v>
      </x:c>
      <x:c r="N8" t="n">
        <x:f>IF(A8="","",IF(ISNUMBER(H8),H8-TODAY(),""))</x:f>
        <x:v>29</x:v>
      </x:c>
      <x:c r="O8" t="str">
        <x:f>IF(A8="","",'Benefits Master'!P8)</x:f>
        <x:v>High</x:v>
      </x:c>
      <x:c r="P8" t="str">
        <x:f>IF(A8="","",'Benefits Master'!Q8)</x:f>
        <x:v>Yes</x:v>
      </x:c>
      <x:c r="Q8" t="str">
        <x:f>IF(A8="","",'Benefits Master'!S8)</x:f>
        <x:v>Up to $25/month; enrollment required.</x:v>
      </x:c>
    </x:row>
    <x:row r="9">
      <x:c r="A9" t="str">
        <x:f>IF('Benefits Master'!A9="","",'Benefits Master'!A9)</x:f>
        <x:v>amex_platinum_p1_resy_quarterly</x:v>
      </x:c>
      <x:c r="B9" t="str">
        <x:f>IF(A9="","",'Benefits Master'!B9)</x:f>
        <x:v>Person 1</x:v>
      </x:c>
      <x:c r="C9" t="str">
        <x:f>IF(A9="","",'Benefits Master'!D9)</x:f>
        <x:v>American Express Platinum Card</x:v>
      </x:c>
      <x:c r="D9" t="str">
        <x:f>IF(A9="","",'Benefits Master'!E9)</x:f>
        <x:v>Resy Credit</x:v>
      </x:c>
      <x:c r="E9" t="str">
        <x:f>IF(A9="","",'Benefits Master'!J9)</x:f>
        <x:v>Quarterly</x:v>
      </x:c>
      <x:c r="F9" t="str">
        <x:f>IF(A9="","",'Benefits Master'!K9)</x:f>
        <x:v>Calendar Quarter</x:v>
      </x:c>
      <x:c r="G9" t="str">
        <x:f>IF(A9="","",IF(F9="Jan-Jun",YEAR(TODAY())&amp;"-H1",IF(F9="Jul-Dec",YEAR(TODAY())&amp;"-H2",IF(E9="Monthly",TEXT(TODAY(),"yyyy-mm"),IF(E9="Quarterly",YEAR(TODAY())&amp;"-Q"&amp;ROUNDUP(MONTH(TODAY())/3,0),IF(E9="Semiannual",IF(MONTH(TODAY())&lt;=6,YEAR(TODAY())&amp;"-H1",YEAR(TODAY())&amp;"-H2"),IF(E9="Annual",YEAR(TODAY()),IF(E9="One-time","One-time","Custom"))))))))</x:f>
        <x:v>2026-Q2</x:v>
      </x:c>
      <x:c r="H9" t="n">
        <x:f>IF(A9="","",IF('Benefits Master'!M9&lt;&gt;"",'Benefits Master'!M9,IF('Benefits Master'!L9="End of Month",EOMONTH(TODAY(),0),IF('Benefits Master'!L9="End of Quarter",EOMONTH(DATE(YEAR(TODAY()),ROUNDUP(MONTH(TODAY())/3,0)*3,1),0),IF('Benefits Master'!L9="June 30",DATE(YEAR(TODAY()),6,30),IF('Benefits Master'!L9="Dec 31",DATE(YEAR(TODAY()),12,31),IF('Benefits Master'!L9="Card Anniversary","Enter open date",IF('Benefits Master'!L9="Specific Date","Set specific date",DATE(YEAR(TODAY()),12,31)))))))))</x:f>
        <x:v>46203</x:v>
      </x:c>
      <x:c r="I9" t="n">
        <x:f>IF(A9="","",'Benefits Master'!H9)</x:f>
        <x:v>100</x:v>
      </x:c>
      <x:c r="J9" t="n">
        <x:f>IF(A9="","",SUMIFS('Benefit Usage Log'!$H:$H,'Benefit Usage Log'!$E:$E,A9,'Benefit Usage Log'!$G:$G,G9))</x:f>
        <x:v>0</x:v>
      </x:c>
      <x:c r="K9" t="n">
        <x:f>IF(A9="","",MAX(0,I9-J9))</x:f>
        <x:v>100</x:v>
      </x:c>
      <x:c r="L9" t="n">
        <x:f>IF(A9="","",IF(I9=0,0,MIN(1,J9/I9)))</x:f>
        <x:v>0</x:v>
      </x:c>
      <x:c r="M9" t="str">
        <x:f>IF(A9="","",IF(ISNUMBER(H9)=FALSE,"Review Terms",IF(J9&gt;=I9,"Used",IF(AND(J9&gt;0,J9&lt;I9,H9&lt;TODAY()),"Missed",IF(AND(J9=0,H9&lt;TODAY()),"Missed",IF(AND(I9-J9&gt;0,H9-TODAY()&lt;='Benefits Master'!N9),"Expiring Soon",IF(J9&gt;0,"Partially Used","Not Used")))))))</x:f>
        <x:v>Not Used</x:v>
      </x:c>
      <x:c r="N9" t="n">
        <x:f>IF(A9="","",IF(ISNUMBER(H9),H9-TODAY(),""))</x:f>
        <x:v>59</x:v>
      </x:c>
      <x:c r="O9" t="str">
        <x:f>IF(A9="","",'Benefits Master'!P9)</x:f>
        <x:v>High</x:v>
      </x:c>
      <x:c r="P9" t="str">
        <x:f>IF(A9="","",'Benefits Master'!Q9)</x:f>
        <x:v>Yes</x:v>
      </x:c>
      <x:c r="Q9" t="str">
        <x:f>IF(A9="","",'Benefits Master'!S9)</x:f>
        <x:v>Up to $100 per quarter on eligible Resy purchases; enrollment required.</x:v>
      </x:c>
    </x:row>
    <x:row r="10">
      <x:c r="A10" t="str">
        <x:f>IF('Benefits Master'!A10="","",'Benefits Master'!A10)</x:f>
        <x:v>amex_platinum_p1_lululemon_quarterly</x:v>
      </x:c>
      <x:c r="B10" t="str">
        <x:f>IF(A10="","",'Benefits Master'!B10)</x:f>
        <x:v>Person 1</x:v>
      </x:c>
      <x:c r="C10" t="str">
        <x:f>IF(A10="","",'Benefits Master'!D10)</x:f>
        <x:v>American Express Platinum Card</x:v>
      </x:c>
      <x:c r="D10" t="str">
        <x:f>IF(A10="","",'Benefits Master'!E10)</x:f>
        <x:v>lululemon Credit</x:v>
      </x:c>
      <x:c r="E10" t="str">
        <x:f>IF(A10="","",'Benefits Master'!J10)</x:f>
        <x:v>Quarterly</x:v>
      </x:c>
      <x:c r="F10" t="str">
        <x:f>IF(A10="","",'Benefits Master'!K10)</x:f>
        <x:v>Calendar Quarter</x:v>
      </x:c>
      <x:c r="G10" t="str">
        <x:f>IF(A10="","",IF(F10="Jan-Jun",YEAR(TODAY())&amp;"-H1",IF(F10="Jul-Dec",YEAR(TODAY())&amp;"-H2",IF(E10="Monthly",TEXT(TODAY(),"yyyy-mm"),IF(E10="Quarterly",YEAR(TODAY())&amp;"-Q"&amp;ROUNDUP(MONTH(TODAY())/3,0),IF(E10="Semiannual",IF(MONTH(TODAY())&lt;=6,YEAR(TODAY())&amp;"-H1",YEAR(TODAY())&amp;"-H2"),IF(E10="Annual",YEAR(TODAY()),IF(E10="One-time","One-time","Custom"))))))))</x:f>
        <x:v>2026-Q2</x:v>
      </x:c>
      <x:c r="H10" t="n">
        <x:f>IF(A10="","",IF('Benefits Master'!M10&lt;&gt;"",'Benefits Master'!M10,IF('Benefits Master'!L10="End of Month",EOMONTH(TODAY(),0),IF('Benefits Master'!L10="End of Quarter",EOMONTH(DATE(YEAR(TODAY()),ROUNDUP(MONTH(TODAY())/3,0)*3,1),0),IF('Benefits Master'!L10="June 30",DATE(YEAR(TODAY()),6,30),IF('Benefits Master'!L10="Dec 31",DATE(YEAR(TODAY()),12,31),IF('Benefits Master'!L10="Card Anniversary","Enter open date",IF('Benefits Master'!L10="Specific Date","Set specific date",DATE(YEAR(TODAY()),12,31)))))))))</x:f>
        <x:v>46203</x:v>
      </x:c>
      <x:c r="I10" t="n">
        <x:f>IF(A10="","",'Benefits Master'!H10)</x:f>
        <x:v>75</x:v>
      </x:c>
      <x:c r="J10" t="n">
        <x:f>IF(A10="","",SUMIFS('Benefit Usage Log'!$H:$H,'Benefit Usage Log'!$E:$E,A10,'Benefit Usage Log'!$G:$G,G10))</x:f>
        <x:v>0</x:v>
      </x:c>
      <x:c r="K10" t="n">
        <x:f>IF(A10="","",MAX(0,I10-J10))</x:f>
        <x:v>75</x:v>
      </x:c>
      <x:c r="L10" t="n">
        <x:f>IF(A10="","",IF(I10=0,0,MIN(1,J10/I10)))</x:f>
        <x:v>0</x:v>
      </x:c>
      <x:c r="M10" t="str">
        <x:f>IF(A10="","",IF(ISNUMBER(H10)=FALSE,"Review Terms",IF(J10&gt;=I10,"Used",IF(AND(J10&gt;0,J10&lt;I10,H10&lt;TODAY()),"Missed",IF(AND(J10=0,H10&lt;TODAY()),"Missed",IF(AND(I10-J10&gt;0,H10-TODAY()&lt;='Benefits Master'!N10),"Expiring Soon",IF(J10&gt;0,"Partially Used","Not Used")))))))</x:f>
        <x:v>Not Used</x:v>
      </x:c>
      <x:c r="N10" t="n">
        <x:f>IF(A10="","",IF(ISNUMBER(H10),H10-TODAY(),""))</x:f>
        <x:v>59</x:v>
      </x:c>
      <x:c r="O10" t="str">
        <x:f>IF(A10="","",'Benefits Master'!P10)</x:f>
        <x:v>Medium</x:v>
      </x:c>
      <x:c r="P10" t="str">
        <x:f>IF(A10="","",'Benefits Master'!Q10)</x:f>
        <x:v>Yes</x:v>
      </x:c>
      <x:c r="Q10" t="str">
        <x:f>IF(A10="","",'Benefits Master'!S10)</x:f>
        <x:v>Up to $75/quarter at eligible lululemon stores; enrollment required.</x:v>
      </x:c>
    </x:row>
    <x:row r="11">
      <x:c r="A11" t="str">
        <x:f>IF('Benefits Master'!A11="","",'Benefits Master'!A11)</x:f>
        <x:v>amex_platinum_p1_hotel_h1</x:v>
      </x:c>
      <x:c r="B11" t="str">
        <x:f>IF(A11="","",'Benefits Master'!B11)</x:f>
        <x:v>Person 1</x:v>
      </x:c>
      <x:c r="C11" t="str">
        <x:f>IF(A11="","",'Benefits Master'!D11)</x:f>
        <x:v>American Express Platinum Card</x:v>
      </x:c>
      <x:c r="D11" t="str">
        <x:f>IF(A11="","",'Benefits Master'!E11)</x:f>
        <x:v>Hotel Credit H1</x:v>
      </x:c>
      <x:c r="E11" t="str">
        <x:f>IF(A11="","",'Benefits Master'!J11)</x:f>
        <x:v>Semiannual</x:v>
      </x:c>
      <x:c r="F11" t="str">
        <x:f>IF(A11="","",'Benefits Master'!K11)</x:f>
        <x:v>Jan-Jun</x:v>
      </x:c>
      <x:c r="G11" t="str">
        <x:f>IF(A11="","",IF(F11="Jan-Jun",YEAR(TODAY())&amp;"-H1",IF(F11="Jul-Dec",YEAR(TODAY())&amp;"-H2",IF(E11="Monthly",TEXT(TODAY(),"yyyy-mm"),IF(E11="Quarterly",YEAR(TODAY())&amp;"-Q"&amp;ROUNDUP(MONTH(TODAY())/3,0),IF(E11="Semiannual",IF(MONTH(TODAY())&lt;=6,YEAR(TODAY())&amp;"-H1",YEAR(TODAY())&amp;"-H2"),IF(E11="Annual",YEAR(TODAY()),IF(E11="One-time","One-time","Custom"))))))))</x:f>
        <x:v>2026-H1</x:v>
      </x:c>
      <x:c r="H11" t="n">
        <x:f>IF(A11="","",IF('Benefits Master'!M11&lt;&gt;"",'Benefits Master'!M11,IF('Benefits Master'!L11="End of Month",EOMONTH(TODAY(),0),IF('Benefits Master'!L11="End of Quarter",EOMONTH(DATE(YEAR(TODAY()),ROUNDUP(MONTH(TODAY())/3,0)*3,1),0),IF('Benefits Master'!L11="June 30",DATE(YEAR(TODAY()),6,30),IF('Benefits Master'!L11="Dec 31",DATE(YEAR(TODAY()),12,31),IF('Benefits Master'!L11="Card Anniversary","Enter open date",IF('Benefits Master'!L11="Specific Date","Set specific date",DATE(YEAR(TODAY()),12,31)))))))))</x:f>
        <x:v>46203</x:v>
      </x:c>
      <x:c r="I11" t="n">
        <x:f>IF(A11="","",'Benefits Master'!H11)</x:f>
        <x:v>300</x:v>
      </x:c>
      <x:c r="J11" t="n">
        <x:f>IF(A11="","",SUMIFS('Benefit Usage Log'!$H:$H,'Benefit Usage Log'!$E:$E,A11,'Benefit Usage Log'!$G:$G,G11))</x:f>
        <x:v>0</x:v>
      </x:c>
      <x:c r="K11" t="n">
        <x:f>IF(A11="","",MAX(0,I11-J11))</x:f>
        <x:v>300</x:v>
      </x:c>
      <x:c r="L11" t="n">
        <x:f>IF(A11="","",IF(I11=0,0,MIN(1,J11/I11)))</x:f>
        <x:v>0</x:v>
      </x:c>
      <x:c r="M11" t="str">
        <x:f>IF(A11="","",IF(ISNUMBER(H11)=FALSE,"Review Terms",IF(J11&gt;=I11,"Used",IF(AND(J11&gt;0,J11&lt;I11,H11&lt;TODAY()),"Missed",IF(AND(J11=0,H11&lt;TODAY()),"Missed",IF(AND(I11-J11&gt;0,H11-TODAY()&lt;='Benefits Master'!N11),"Expiring Soon",IF(J11&gt;0,"Partially Used","Not Used")))))))</x:f>
        <x:v>Not Used</x:v>
      </x:c>
      <x:c r="N11" t="n">
        <x:f>IF(A11="","",IF(ISNUMBER(H11),H11-TODAY(),""))</x:f>
        <x:v>59</x:v>
      </x:c>
      <x:c r="O11" t="str">
        <x:f>IF(A11="","",'Benefits Master'!P11)</x:f>
        <x:v>High</x:v>
      </x:c>
      <x:c r="P11" t="str">
        <x:f>IF(A11="","",'Benefits Master'!Q11)</x:f>
        <x:v>Yes</x:v>
      </x:c>
      <x:c r="Q11" t="str">
        <x:f>IF(A11="","",'Benefits Master'!S11)</x:f>
        <x:v>Up to $300 Jan-Jun on prepaid FHR/The Hotel Collection via Amex Travel.</x:v>
      </x:c>
    </x:row>
    <x:row r="12">
      <x:c r="A12" t="str">
        <x:f>IF('Benefits Master'!A12="","",'Benefits Master'!A12)</x:f>
        <x:v>amex_platinum_p1_hotel_h2</x:v>
      </x:c>
      <x:c r="B12" t="str">
        <x:f>IF(A12="","",'Benefits Master'!B12)</x:f>
        <x:v>Person 1</x:v>
      </x:c>
      <x:c r="C12" t="str">
        <x:f>IF(A12="","",'Benefits Master'!D12)</x:f>
        <x:v>American Express Platinum Card</x:v>
      </x:c>
      <x:c r="D12" t="str">
        <x:f>IF(A12="","",'Benefits Master'!E12)</x:f>
        <x:v>Hotel Credit H2</x:v>
      </x:c>
      <x:c r="E12" t="str">
        <x:f>IF(A12="","",'Benefits Master'!J12)</x:f>
        <x:v>Semiannual</x:v>
      </x:c>
      <x:c r="F12" t="str">
        <x:f>IF(A12="","",'Benefits Master'!K12)</x:f>
        <x:v>Jul-Dec</x:v>
      </x:c>
      <x:c r="G12" t="str">
        <x:f>IF(A12="","",IF(F12="Jan-Jun",YEAR(TODAY())&amp;"-H1",IF(F12="Jul-Dec",YEAR(TODAY())&amp;"-H2",IF(E12="Monthly",TEXT(TODAY(),"yyyy-mm"),IF(E12="Quarterly",YEAR(TODAY())&amp;"-Q"&amp;ROUNDUP(MONTH(TODAY())/3,0),IF(E12="Semiannual",IF(MONTH(TODAY())&lt;=6,YEAR(TODAY())&amp;"-H1",YEAR(TODAY())&amp;"-H2"),IF(E12="Annual",YEAR(TODAY()),IF(E12="One-time","One-time","Custom"))))))))</x:f>
        <x:v>2026-H2</x:v>
      </x:c>
      <x:c r="H12" t="n">
        <x:f>IF(A12="","",IF('Benefits Master'!M12&lt;&gt;"",'Benefits Master'!M12,IF('Benefits Master'!L12="End of Month",EOMONTH(TODAY(),0),IF('Benefits Master'!L12="End of Quarter",EOMONTH(DATE(YEAR(TODAY()),ROUNDUP(MONTH(TODAY())/3,0)*3,1),0),IF('Benefits Master'!L12="June 30",DATE(YEAR(TODAY()),6,30),IF('Benefits Master'!L12="Dec 31",DATE(YEAR(TODAY()),12,31),IF('Benefits Master'!L12="Card Anniversary","Enter open date",IF('Benefits Master'!L12="Specific Date","Set specific date",DATE(YEAR(TODAY()),12,31)))))))))</x:f>
        <x:v>46387</x:v>
      </x:c>
      <x:c r="I12" t="n">
        <x:f>IF(A12="","",'Benefits Master'!H12)</x:f>
        <x:v>300</x:v>
      </x:c>
      <x:c r="J12" t="n">
        <x:f>IF(A12="","",SUMIFS('Benefit Usage Log'!$H:$H,'Benefit Usage Log'!$E:$E,A12,'Benefit Usage Log'!$G:$G,G12))</x:f>
        <x:v>0</x:v>
      </x:c>
      <x:c r="K12" t="n">
        <x:f>IF(A12="","",MAX(0,I12-J12))</x:f>
        <x:v>300</x:v>
      </x:c>
      <x:c r="L12" t="n">
        <x:f>IF(A12="","",IF(I12=0,0,MIN(1,J12/I12)))</x:f>
        <x:v>0</x:v>
      </x:c>
      <x:c r="M12" t="str">
        <x:f>IF(A12="","",IF(ISNUMBER(H12)=FALSE,"Review Terms",IF(J12&gt;=I12,"Used",IF(AND(J12&gt;0,J12&lt;I12,H12&lt;TODAY()),"Missed",IF(AND(J12=0,H12&lt;TODAY()),"Missed",IF(AND(I12-J12&gt;0,H12-TODAY()&lt;='Benefits Master'!N12),"Expiring Soon",IF(J12&gt;0,"Partially Used","Not Used")))))))</x:f>
        <x:v>Not Used</x:v>
      </x:c>
      <x:c r="N12" t="n">
        <x:f>IF(A12="","",IF(ISNUMBER(H12),H12-TODAY(),""))</x:f>
        <x:v>243</x:v>
      </x:c>
      <x:c r="O12" t="str">
        <x:f>IF(A12="","",'Benefits Master'!P12)</x:f>
        <x:v>High</x:v>
      </x:c>
      <x:c r="P12" t="str">
        <x:f>IF(A12="","",'Benefits Master'!Q12)</x:f>
        <x:v>Yes</x:v>
      </x:c>
      <x:c r="Q12" t="str">
        <x:f>IF(A12="","",'Benefits Master'!S12)</x:f>
        <x:v>Up to $300 Jul-Dec on prepaid FHR/The Hotel Collection via Amex Travel.</x:v>
      </x:c>
    </x:row>
    <x:row r="13">
      <x:c r="A13" t="str">
        <x:f>IF('Benefits Master'!A13="","",'Benefits Master'!A13)</x:f>
        <x:v>amex_platinum_p1_airline_incidental</x:v>
      </x:c>
      <x:c r="B13" t="str">
        <x:f>IF(A13="","",'Benefits Master'!B13)</x:f>
        <x:v>Person 1</x:v>
      </x:c>
      <x:c r="C13" t="str">
        <x:f>IF(A13="","",'Benefits Master'!D13)</x:f>
        <x:v>American Express Platinum Card</x:v>
      </x:c>
      <x:c r="D13" t="str">
        <x:f>IF(A13="","",'Benefits Master'!E13)</x:f>
        <x:v>Airline Fee Credit</x:v>
      </x:c>
      <x:c r="E13" t="str">
        <x:f>IF(A13="","",'Benefits Master'!J13)</x:f>
        <x:v>Annual</x:v>
      </x:c>
      <x:c r="F13" t="str">
        <x:f>IF(A13="","",'Benefits Master'!K13)</x:f>
        <x:v>Calendar Year</x:v>
      </x:c>
      <x:c r="G13" t="n">
        <x:f>IF(A13="","",IF(F13="Jan-Jun",YEAR(TODAY())&amp;"-H1",IF(F13="Jul-Dec",YEAR(TODAY())&amp;"-H2",IF(E13="Monthly",TEXT(TODAY(),"yyyy-mm"),IF(E13="Quarterly",YEAR(TODAY())&amp;"-Q"&amp;ROUNDUP(MONTH(TODAY())/3,0),IF(E13="Semiannual",IF(MONTH(TODAY())&lt;=6,YEAR(TODAY())&amp;"-H1",YEAR(TODAY())&amp;"-H2"),IF(E13="Annual",YEAR(TODAY()),IF(E13="One-time","One-time","Custom"))))))))</x:f>
        <x:v>2026</x:v>
      </x:c>
      <x:c r="H13" t="n">
        <x:f>IF(A13="","",IF('Benefits Master'!M13&lt;&gt;"",'Benefits Master'!M13,IF('Benefits Master'!L13="End of Month",EOMONTH(TODAY(),0),IF('Benefits Master'!L13="End of Quarter",EOMONTH(DATE(YEAR(TODAY()),ROUNDUP(MONTH(TODAY())/3,0)*3,1),0),IF('Benefits Master'!L13="June 30",DATE(YEAR(TODAY()),6,30),IF('Benefits Master'!L13="Dec 31",DATE(YEAR(TODAY()),12,31),IF('Benefits Master'!L13="Card Anniversary","Enter open date",IF('Benefits Master'!L13="Specific Date","Set specific date",DATE(YEAR(TODAY()),12,31)))))))))</x:f>
        <x:v>46387</x:v>
      </x:c>
      <x:c r="I13" t="n">
        <x:f>IF(A13="","",'Benefits Master'!H13)</x:f>
        <x:v>200</x:v>
      </x:c>
      <x:c r="J13" t="n">
        <x:f>IF(A13="","",SUMIFS('Benefit Usage Log'!$H:$H,'Benefit Usage Log'!$E:$E,A13,'Benefit Usage Log'!$G:$G,G13))</x:f>
        <x:v>0</x:v>
      </x:c>
      <x:c r="K13" t="n">
        <x:f>IF(A13="","",MAX(0,I13-J13))</x:f>
        <x:v>200</x:v>
      </x:c>
      <x:c r="L13" t="n">
        <x:f>IF(A13="","",IF(I13=0,0,MIN(1,J13/I13)))</x:f>
        <x:v>0</x:v>
      </x:c>
      <x:c r="M13" t="str">
        <x:f>IF(A13="","",IF(ISNUMBER(H13)=FALSE,"Review Terms",IF(J13&gt;=I13,"Used",IF(AND(J13&gt;0,J13&lt;I13,H13&lt;TODAY()),"Missed",IF(AND(J13=0,H13&lt;TODAY()),"Missed",IF(AND(I13-J13&gt;0,H13-TODAY()&lt;='Benefits Master'!N13),"Expiring Soon",IF(J13&gt;0,"Partially Used","Not Used")))))))</x:f>
        <x:v>Not Used</x:v>
      </x:c>
      <x:c r="N13" t="n">
        <x:f>IF(A13="","",IF(ISNUMBER(H13),H13-TODAY(),""))</x:f>
        <x:v>243</x:v>
      </x:c>
      <x:c r="O13" t="str">
        <x:f>IF(A13="","",'Benefits Master'!P13)</x:f>
        <x:v>Medium</x:v>
      </x:c>
      <x:c r="P13" t="str">
        <x:f>IF(A13="","",'Benefits Master'!Q13)</x:f>
        <x:v>Yes</x:v>
      </x:c>
      <x:c r="Q13" t="str">
        <x:f>IF(A13="","",'Benefits Master'!S13)</x:f>
        <x:v>Up to $200/calendar year for airline incidental fees; enrollment required; choose airline.</x:v>
      </x:c>
    </x:row>
    <x:row r="14">
      <x:c r="A14" t="str">
        <x:f>IF('Benefits Master'!A14="","",'Benefits Master'!A14)</x:f>
        <x:v>amex_platinum_p1_walmart_plus</x:v>
      </x:c>
      <x:c r="B14" t="str">
        <x:f>IF(A14="","",'Benefits Master'!B14)</x:f>
        <x:v>Person 1</x:v>
      </x:c>
      <x:c r="C14" t="str">
        <x:f>IF(A14="","",'Benefits Master'!D14)</x:f>
        <x:v>American Express Platinum Card</x:v>
      </x:c>
      <x:c r="D14" t="str">
        <x:f>IF(A14="","",'Benefits Master'!E14)</x:f>
        <x:v>Walmart+ Monthly Credit</x:v>
      </x:c>
      <x:c r="E14" t="str">
        <x:f>IF(A14="","",'Benefits Master'!J14)</x:f>
        <x:v>Monthly</x:v>
      </x:c>
      <x:c r="F14" t="str">
        <x:f>IF(A14="","",'Benefits Master'!K14)</x:f>
        <x:v>Calendar Month</x:v>
      </x:c>
      <x:c r="G14" t="str">
        <x:f>IF(A14="","",IF(F14="Jan-Jun",YEAR(TODAY())&amp;"-H1",IF(F14="Jul-Dec",YEAR(TODAY())&amp;"-H2",IF(E14="Monthly",TEXT(TODAY(),"yyyy-mm"),IF(E14="Quarterly",YEAR(TODAY())&amp;"-Q"&amp;ROUNDUP(MONTH(TODAY())/3,0),IF(E14="Semiannual",IF(MONTH(TODAY())&lt;=6,YEAR(TODAY())&amp;"-H1",YEAR(TODAY())&amp;"-H2"),IF(E14="Annual",YEAR(TODAY()),IF(E14="One-time","One-time","Custom"))))))))</x:f>
        <x:v>2026-05</x:v>
      </x:c>
      <x:c r="H14" t="n">
        <x:f>IF(A14="","",IF('Benefits Master'!M14&lt;&gt;"",'Benefits Master'!M14,IF('Benefits Master'!L14="End of Month",EOMONTH(TODAY(),0),IF('Benefits Master'!L14="End of Quarter",EOMONTH(DATE(YEAR(TODAY()),ROUNDUP(MONTH(TODAY())/3,0)*3,1),0),IF('Benefits Master'!L14="June 30",DATE(YEAR(TODAY()),6,30),IF('Benefits Master'!L14="Dec 31",DATE(YEAR(TODAY()),12,31),IF('Benefits Master'!L14="Card Anniversary","Enter open date",IF('Benefits Master'!L14="Specific Date","Set specific date",DATE(YEAR(TODAY()),12,31)))))))))</x:f>
        <x:v>46173</x:v>
      </x:c>
      <x:c r="I14" t="n">
        <x:f>IF(A14="","",'Benefits Master'!H14)</x:f>
        <x:v>12.95</x:v>
      </x:c>
      <x:c r="J14" t="n">
        <x:f>IF(A14="","",SUMIFS('Benefit Usage Log'!$H:$H,'Benefit Usage Log'!$E:$E,A14,'Benefit Usage Log'!$G:$G,G14))</x:f>
        <x:v>0</x:v>
      </x:c>
      <x:c r="K14" t="n">
        <x:f>IF(A14="","",MAX(0,I14-J14))</x:f>
        <x:v>12.95</x:v>
      </x:c>
      <x:c r="L14" t="n">
        <x:f>IF(A14="","",IF(I14=0,0,MIN(1,J14/I14)))</x:f>
        <x:v>0</x:v>
      </x:c>
      <x:c r="M14" t="str">
        <x:f>IF(A14="","",IF(ISNUMBER(H14)=FALSE,"Review Terms",IF(J14&gt;=I14,"Used",IF(AND(J14&gt;0,J14&lt;I14,H14&lt;TODAY()),"Missed",IF(AND(J14=0,H14&lt;TODAY()),"Missed",IF(AND(I14-J14&gt;0,H14-TODAY()&lt;='Benefits Master'!N14),"Expiring Soon",IF(J14&gt;0,"Partially Used","Not Used")))))))</x:f>
        <x:v>Not Used</x:v>
      </x:c>
      <x:c r="N14" t="n">
        <x:f>IF(A14="","",IF(ISNUMBER(H14),H14-TODAY(),""))</x:f>
        <x:v>29</x:v>
      </x:c>
      <x:c r="O14" t="str">
        <x:f>IF(A14="","",'Benefits Master'!P14)</x:f>
        <x:v>Low</x:v>
      </x:c>
      <x:c r="P14" t="str">
        <x:f>IF(A14="","",'Benefits Master'!Q14)</x:f>
        <x:v>Yes</x:v>
      </x:c>
      <x:c r="Q14" t="str">
        <x:f>IF(A14="","",'Benefits Master'!S14)</x:f>
        <x:v>Monthly Walmart+ statement credit; enrollment required.</x:v>
      </x:c>
    </x:row>
    <x:row r="15">
      <x:c r="A15" t="str">
        <x:f>IF('Benefits Master'!A15="","",'Benefits Master'!A15)</x:f>
        <x:v>amex_platinum_p1_clear_plus</x:v>
      </x:c>
      <x:c r="B15" t="str">
        <x:f>IF(A15="","",'Benefits Master'!B15)</x:f>
        <x:v>Person 1</x:v>
      </x:c>
      <x:c r="C15" t="str">
        <x:f>IF(A15="","",'Benefits Master'!D15)</x:f>
        <x:v>American Express Platinum Card</x:v>
      </x:c>
      <x:c r="D15" t="str">
        <x:f>IF(A15="","",'Benefits Master'!E15)</x:f>
        <x:v>CLEAR+ Credit</x:v>
      </x:c>
      <x:c r="E15" t="str">
        <x:f>IF(A15="","",'Benefits Master'!J15)</x:f>
        <x:v>Annual</x:v>
      </x:c>
      <x:c r="F15" t="str">
        <x:f>IF(A15="","",'Benefits Master'!K15)</x:f>
        <x:v>Calendar Year</x:v>
      </x:c>
      <x:c r="G15" t="n">
        <x:f>IF(A15="","",IF(F15="Jan-Jun",YEAR(TODAY())&amp;"-H1",IF(F15="Jul-Dec",YEAR(TODAY())&amp;"-H2",IF(E15="Monthly",TEXT(TODAY(),"yyyy-mm"),IF(E15="Quarterly",YEAR(TODAY())&amp;"-Q"&amp;ROUNDUP(MONTH(TODAY())/3,0),IF(E15="Semiannual",IF(MONTH(TODAY())&lt;=6,YEAR(TODAY())&amp;"-H1",YEAR(TODAY())&amp;"-H2"),IF(E15="Annual",YEAR(TODAY()),IF(E15="One-time","One-time","Custom"))))))))</x:f>
        <x:v>2026</x:v>
      </x:c>
      <x:c r="H15" t="n">
        <x:f>IF(A15="","",IF('Benefits Master'!M15&lt;&gt;"",'Benefits Master'!M15,IF('Benefits Master'!L15="End of Month",EOMONTH(TODAY(),0),IF('Benefits Master'!L15="End of Quarter",EOMONTH(DATE(YEAR(TODAY()),ROUNDUP(MONTH(TODAY())/3,0)*3,1),0),IF('Benefits Master'!L15="June 30",DATE(YEAR(TODAY()),6,30),IF('Benefits Master'!L15="Dec 31",DATE(YEAR(TODAY()),12,31),IF('Benefits Master'!L15="Card Anniversary","Enter open date",IF('Benefits Master'!L15="Specific Date","Set specific date",DATE(YEAR(TODAY()),12,31)))))))))</x:f>
        <x:v>46387</x:v>
      </x:c>
      <x:c r="I15" t="n">
        <x:f>IF(A15="","",'Benefits Master'!H15)</x:f>
        <x:v>209</x:v>
      </x:c>
      <x:c r="J15" t="n">
        <x:f>IF(A15="","",SUMIFS('Benefit Usage Log'!$H:$H,'Benefit Usage Log'!$E:$E,A15,'Benefit Usage Log'!$G:$G,G15))</x:f>
        <x:v>0</x:v>
      </x:c>
      <x:c r="K15" t="n">
        <x:f>IF(A15="","",MAX(0,I15-J15))</x:f>
        <x:v>209</x:v>
      </x:c>
      <x:c r="L15" t="n">
        <x:f>IF(A15="","",IF(I15=0,0,MIN(1,J15/I15)))</x:f>
        <x:v>0</x:v>
      </x:c>
      <x:c r="M15" t="str">
        <x:f>IF(A15="","",IF(ISNUMBER(H15)=FALSE,"Review Terms",IF(J15&gt;=I15,"Used",IF(AND(J15&gt;0,J15&lt;I15,H15&lt;TODAY()),"Missed",IF(AND(J15=0,H15&lt;TODAY()),"Missed",IF(AND(I15-J15&gt;0,H15-TODAY()&lt;='Benefits Master'!N15),"Expiring Soon",IF(J15&gt;0,"Partially Used","Not Used")))))))</x:f>
        <x:v>Not Used</x:v>
      </x:c>
      <x:c r="N15" t="n">
        <x:f>IF(A15="","",IF(ISNUMBER(H15),H15-TODAY(),""))</x:f>
        <x:v>243</x:v>
      </x:c>
      <x:c r="O15" t="str">
        <x:f>IF(A15="","",'Benefits Master'!P15)</x:f>
        <x:v>Medium</x:v>
      </x:c>
      <x:c r="P15" t="str">
        <x:f>IF(A15="","",'Benefits Master'!Q15)</x:f>
        <x:v>Yes</x:v>
      </x:c>
      <x:c r="Q15" t="str">
        <x:f>IF(A15="","",'Benefits Master'!S15)</x:f>
        <x:v>Up to $209/year for CLEAR+ membership.</x:v>
      </x:c>
    </x:row>
    <x:row r="16">
      <x:c r="A16" t="str">
        <x:f>IF('Benefits Master'!A16="","",'Benefits Master'!A16)</x:f>
        <x:v>amex_platinum_p1_equinox</x:v>
      </x:c>
      <x:c r="B16" t="str">
        <x:f>IF(A16="","",'Benefits Master'!B16)</x:f>
        <x:v>Person 1</x:v>
      </x:c>
      <x:c r="C16" t="str">
        <x:f>IF(A16="","",'Benefits Master'!D16)</x:f>
        <x:v>American Express Platinum Card</x:v>
      </x:c>
      <x:c r="D16" t="str">
        <x:f>IF(A16="","",'Benefits Master'!E16)</x:f>
        <x:v>Equinox Credit</x:v>
      </x:c>
      <x:c r="E16" t="str">
        <x:f>IF(A16="","",'Benefits Master'!J16)</x:f>
        <x:v>Annual</x:v>
      </x:c>
      <x:c r="F16" t="str">
        <x:f>IF(A16="","",'Benefits Master'!K16)</x:f>
        <x:v>Calendar Year</x:v>
      </x:c>
      <x:c r="G16" t="n">
        <x:f>IF(A16="","",IF(F16="Jan-Jun",YEAR(TODAY())&amp;"-H1",IF(F16="Jul-Dec",YEAR(TODAY())&amp;"-H2",IF(E16="Monthly",TEXT(TODAY(),"yyyy-mm"),IF(E16="Quarterly",YEAR(TODAY())&amp;"-Q"&amp;ROUNDUP(MONTH(TODAY())/3,0),IF(E16="Semiannual",IF(MONTH(TODAY())&lt;=6,YEAR(TODAY())&amp;"-H1",YEAR(TODAY())&amp;"-H2"),IF(E16="Annual",YEAR(TODAY()),IF(E16="One-time","One-time","Custom"))))))))</x:f>
        <x:v>2026</x:v>
      </x:c>
      <x:c r="H16" t="n">
        <x:f>IF(A16="","",IF('Benefits Master'!M16&lt;&gt;"",'Benefits Master'!M16,IF('Benefits Master'!L16="End of Month",EOMONTH(TODAY(),0),IF('Benefits Master'!L16="End of Quarter",EOMONTH(DATE(YEAR(TODAY()),ROUNDUP(MONTH(TODAY())/3,0)*3,1),0),IF('Benefits Master'!L16="June 30",DATE(YEAR(TODAY()),6,30),IF('Benefits Master'!L16="Dec 31",DATE(YEAR(TODAY()),12,31),IF('Benefits Master'!L16="Card Anniversary","Enter open date",IF('Benefits Master'!L16="Specific Date","Set specific date",DATE(YEAR(TODAY()),12,31)))))))))</x:f>
        <x:v>46387</x:v>
      </x:c>
      <x:c r="I16" t="n">
        <x:f>IF(A16="","",'Benefits Master'!H16)</x:f>
        <x:v>300</x:v>
      </x:c>
      <x:c r="J16" t="n">
        <x:f>IF(A16="","",SUMIFS('Benefit Usage Log'!$H:$H,'Benefit Usage Log'!$E:$E,A16,'Benefit Usage Log'!$G:$G,G16))</x:f>
        <x:v>0</x:v>
      </x:c>
      <x:c r="K16" t="n">
        <x:f>IF(A16="","",MAX(0,I16-J16))</x:f>
        <x:v>300</x:v>
      </x:c>
      <x:c r="L16" t="n">
        <x:f>IF(A16="","",IF(I16=0,0,MIN(1,J16/I16)))</x:f>
        <x:v>0</x:v>
      </x:c>
      <x:c r="M16" t="str">
        <x:f>IF(A16="","",IF(ISNUMBER(H16)=FALSE,"Review Terms",IF(J16&gt;=I16,"Used",IF(AND(J16&gt;0,J16&lt;I16,H16&lt;TODAY()),"Missed",IF(AND(J16=0,H16&lt;TODAY()),"Missed",IF(AND(I16-J16&gt;0,H16-TODAY()&lt;='Benefits Master'!N16),"Expiring Soon",IF(J16&gt;0,"Partially Used","Not Used")))))))</x:f>
        <x:v>Not Used</x:v>
      </x:c>
      <x:c r="N16" t="n">
        <x:f>IF(A16="","",IF(ISNUMBER(H16),H16-TODAY(),""))</x:f>
        <x:v>243</x:v>
      </x:c>
      <x:c r="O16" t="str">
        <x:f>IF(A16="","",'Benefits Master'!P16)</x:f>
        <x:v>Low</x:v>
      </x:c>
      <x:c r="P16" t="str">
        <x:f>IF(A16="","",'Benefits Master'!Q16)</x:f>
        <x:v>No</x:v>
      </x:c>
      <x:c r="Q16" t="str">
        <x:f>IF(A16="","",'Benefits Master'!S16)</x:f>
        <x:v>Only valuable if you use eligible Equinox membership / app; set Include in Alert to Yes if relevant.</x:v>
      </x:c>
    </x:row>
    <x:row r="17">
      <x:c r="A17" t="str">
        <x:f>IF('Benefits Master'!A17="","",'Benefits Master'!A17)</x:f>
        <x:v>amex_platinum_p1_oura</x:v>
      </x:c>
      <x:c r="B17" t="str">
        <x:f>IF(A17="","",'Benefits Master'!B17)</x:f>
        <x:v>Person 1</x:v>
      </x:c>
      <x:c r="C17" t="str">
        <x:f>IF(A17="","",'Benefits Master'!D17)</x:f>
        <x:v>American Express Platinum Card</x:v>
      </x:c>
      <x:c r="D17" t="str">
        <x:f>IF(A17="","",'Benefits Master'!E17)</x:f>
        <x:v>Oura Ring Credit</x:v>
      </x:c>
      <x:c r="E17" t="str">
        <x:f>IF(A17="","",'Benefits Master'!J17)</x:f>
        <x:v>Annual</x:v>
      </x:c>
      <x:c r="F17" t="str">
        <x:f>IF(A17="","",'Benefits Master'!K17)</x:f>
        <x:v>Calendar Year</x:v>
      </x:c>
      <x:c r="G17" t="n">
        <x:f>IF(A17="","",IF(F17="Jan-Jun",YEAR(TODAY())&amp;"-H1",IF(F17="Jul-Dec",YEAR(TODAY())&amp;"-H2",IF(E17="Monthly",TEXT(TODAY(),"yyyy-mm"),IF(E17="Quarterly",YEAR(TODAY())&amp;"-Q"&amp;ROUNDUP(MONTH(TODAY())/3,0),IF(E17="Semiannual",IF(MONTH(TODAY())&lt;=6,YEAR(TODAY())&amp;"-H1",YEAR(TODAY())&amp;"-H2"),IF(E17="Annual",YEAR(TODAY()),IF(E17="One-time","One-time","Custom"))))))))</x:f>
        <x:v>2026</x:v>
      </x:c>
      <x:c r="H17" t="n">
        <x:f>IF(A17="","",IF('Benefits Master'!M17&lt;&gt;"",'Benefits Master'!M17,IF('Benefits Master'!L17="End of Month",EOMONTH(TODAY(),0),IF('Benefits Master'!L17="End of Quarter",EOMONTH(DATE(YEAR(TODAY()),ROUNDUP(MONTH(TODAY())/3,0)*3,1),0),IF('Benefits Master'!L17="June 30",DATE(YEAR(TODAY()),6,30),IF('Benefits Master'!L17="Dec 31",DATE(YEAR(TODAY()),12,31),IF('Benefits Master'!L17="Card Anniversary","Enter open date",IF('Benefits Master'!L17="Specific Date","Set specific date",DATE(YEAR(TODAY()),12,31)))))))))</x:f>
        <x:v>46387</x:v>
      </x:c>
      <x:c r="I17" t="n">
        <x:f>IF(A17="","",'Benefits Master'!H17)</x:f>
        <x:v>200</x:v>
      </x:c>
      <x:c r="J17" t="n">
        <x:f>IF(A17="","",SUMIFS('Benefit Usage Log'!$H:$H,'Benefit Usage Log'!$E:$E,A17,'Benefit Usage Log'!$G:$G,G17))</x:f>
        <x:v>0</x:v>
      </x:c>
      <x:c r="K17" t="n">
        <x:f>IF(A17="","",MAX(0,I17-J17))</x:f>
        <x:v>200</x:v>
      </x:c>
      <x:c r="L17" t="n">
        <x:f>IF(A17="","",IF(I17=0,0,MIN(1,J17/I17)))</x:f>
        <x:v>0</x:v>
      </x:c>
      <x:c r="M17" t="str">
        <x:f>IF(A17="","",IF(ISNUMBER(H17)=FALSE,"Review Terms",IF(J17&gt;=I17,"Used",IF(AND(J17&gt;0,J17&lt;I17,H17&lt;TODAY()),"Missed",IF(AND(J17=0,H17&lt;TODAY()),"Missed",IF(AND(I17-J17&gt;0,H17-TODAY()&lt;='Benefits Master'!N17),"Expiring Soon",IF(J17&gt;0,"Partially Used","Not Used")))))))</x:f>
        <x:v>Not Used</x:v>
      </x:c>
      <x:c r="N17" t="n">
        <x:f>IF(A17="","",IF(ISNUMBER(H17),H17-TODAY(),""))</x:f>
        <x:v>243</x:v>
      </x:c>
      <x:c r="O17" t="str">
        <x:f>IF(A17="","",'Benefits Master'!P17)</x:f>
        <x:v>Low</x:v>
      </x:c>
      <x:c r="P17" t="str">
        <x:f>IF(A17="","",'Benefits Master'!Q17)</x:f>
        <x:v>No</x:v>
      </x:c>
      <x:c r="Q17" t="str">
        <x:f>IF(A17="","",'Benefits Master'!S17)</x:f>
        <x:v>Track only if you plan to use Oura credit.</x:v>
      </x:c>
    </x:row>
    <x:row r="18">
      <x:c r="A18" t="str">
        <x:f>IF('Benefits Master'!A18="","",'Benefits Master'!A18)</x:f>
        <x:v>amex_platinum_p1_saks_final_h1</x:v>
      </x:c>
      <x:c r="B18" t="str">
        <x:f>IF(A18="","",'Benefits Master'!B18)</x:f>
        <x:v>Person 1</x:v>
      </x:c>
      <x:c r="C18" t="str">
        <x:f>IF(A18="","",'Benefits Master'!D18)</x:f>
        <x:v>American Express Platinum Card</x:v>
      </x:c>
      <x:c r="D18" t="str">
        <x:f>IF(A18="","",'Benefits Master'!E18)</x:f>
        <x:v>Saks Credit Final H1</x:v>
      </x:c>
      <x:c r="E18" t="str">
        <x:f>IF(A18="","",'Benefits Master'!J18)</x:f>
        <x:v>Semiannual</x:v>
      </x:c>
      <x:c r="F18" t="str">
        <x:f>IF(A18="","",'Benefits Master'!K18)</x:f>
        <x:v>Jan-Jun</x:v>
      </x:c>
      <x:c r="G18" t="str">
        <x:f>IF(A18="","",IF(F18="Jan-Jun",YEAR(TODAY())&amp;"-H1",IF(F18="Jul-Dec",YEAR(TODAY())&amp;"-H2",IF(E18="Monthly",TEXT(TODAY(),"yyyy-mm"),IF(E18="Quarterly",YEAR(TODAY())&amp;"-Q"&amp;ROUNDUP(MONTH(TODAY())/3,0),IF(E18="Semiannual",IF(MONTH(TODAY())&lt;=6,YEAR(TODAY())&amp;"-H1",YEAR(TODAY())&amp;"-H2"),IF(E18="Annual",YEAR(TODAY()),IF(E18="One-time","One-time","Custom"))))))))</x:f>
        <x:v>2026-H1</x:v>
      </x:c>
      <x:c r="H18" t="n">
        <x:f>IF(A18="","",IF('Benefits Master'!M18&lt;&gt;"",'Benefits Master'!M18,IF('Benefits Master'!L18="End of Month",EOMONTH(TODAY(),0),IF('Benefits Master'!L18="End of Quarter",EOMONTH(DATE(YEAR(TODAY()),ROUNDUP(MONTH(TODAY())/3,0)*3,1),0),IF('Benefits Master'!L18="June 30",DATE(YEAR(TODAY()),6,30),IF('Benefits Master'!L18="Dec 31",DATE(YEAR(TODAY()),12,31),IF('Benefits Master'!L18="Card Anniversary","Enter open date",IF('Benefits Master'!L18="Specific Date","Set specific date",DATE(YEAR(TODAY()),12,31)))))))))</x:f>
        <x:v>46203</x:v>
      </x:c>
      <x:c r="I18" t="n">
        <x:f>IF(A18="","",'Benefits Master'!H18)</x:f>
        <x:v>50</x:v>
      </x:c>
      <x:c r="J18" t="n">
        <x:f>IF(A18="","",SUMIFS('Benefit Usage Log'!$H:$H,'Benefit Usage Log'!$E:$E,A18,'Benefit Usage Log'!$G:$G,G18))</x:f>
        <x:v>0</x:v>
      </x:c>
      <x:c r="K18" t="n">
        <x:f>IF(A18="","",MAX(0,I18-J18))</x:f>
        <x:v>50</x:v>
      </x:c>
      <x:c r="L18" t="n">
        <x:f>IF(A18="","",IF(I18=0,0,MIN(1,J18/I18)))</x:f>
        <x:v>0</x:v>
      </x:c>
      <x:c r="M18" t="str">
        <x:f>IF(A18="","",IF(ISNUMBER(H18)=FALSE,"Review Terms",IF(J18&gt;=I18,"Used",IF(AND(J18&gt;0,J18&lt;I18,H18&lt;TODAY()),"Missed",IF(AND(J18=0,H18&lt;TODAY()),"Missed",IF(AND(I18-J18&gt;0,H18-TODAY()&lt;='Benefits Master'!N18),"Expiring Soon",IF(J18&gt;0,"Partially Used","Not Used")))))))</x:f>
        <x:v>Not Used</x:v>
      </x:c>
      <x:c r="N18" t="n">
        <x:f>IF(A18="","",IF(ISNUMBER(H18),H18-TODAY(),""))</x:f>
        <x:v>59</x:v>
      </x:c>
      <x:c r="O18" t="str">
        <x:f>IF(A18="","",'Benefits Master'!P18)</x:f>
        <x:v>Medium</x:v>
      </x:c>
      <x:c r="P18" t="str">
        <x:f>IF(A18="","",'Benefits Master'!Q18)</x:f>
        <x:v>Yes</x:v>
      </x:c>
      <x:c r="Q18" t="str">
        <x:f>IF(A18="","",'Benefits Master'!S18)</x:f>
        <x:v>Saks credit expected to end July 1, 2026; verify eligibility.</x:v>
      </x:c>
    </x:row>
    <x:row r="19">
      <x:c r="A19" t="str">
        <x:f>IF('Benefits Master'!A19="","",'Benefits Master'!A19)</x:f>
        <x:v>amex_platinum_p2_uber_monthly</x:v>
      </x:c>
      <x:c r="B19" t="str">
        <x:f>IF(A19="","",'Benefits Master'!B19)</x:f>
        <x:v>Person 2</x:v>
      </x:c>
      <x:c r="C19" t="str">
        <x:f>IF(A19="","",'Benefits Master'!D19)</x:f>
        <x:v>American Express Platinum Card</x:v>
      </x:c>
      <x:c r="D19" t="str">
        <x:f>IF(A19="","",'Benefits Master'!E19)</x:f>
        <x:v>Uber Cash</x:v>
      </x:c>
      <x:c r="E19" t="str">
        <x:f>IF(A19="","",'Benefits Master'!J19)</x:f>
        <x:v>Monthly</x:v>
      </x:c>
      <x:c r="F19" t="str">
        <x:f>IF(A19="","",'Benefits Master'!K19)</x:f>
        <x:v>Calendar Month</x:v>
      </x:c>
      <x:c r="G19" t="str">
        <x:f>IF(A19="","",IF(F19="Jan-Jun",YEAR(TODAY())&amp;"-H1",IF(F19="Jul-Dec",YEAR(TODAY())&amp;"-H2",IF(E19="Monthly",TEXT(TODAY(),"yyyy-mm"),IF(E19="Quarterly",YEAR(TODAY())&amp;"-Q"&amp;ROUNDUP(MONTH(TODAY())/3,0),IF(E19="Semiannual",IF(MONTH(TODAY())&lt;=6,YEAR(TODAY())&amp;"-H1",YEAR(TODAY())&amp;"-H2"),IF(E19="Annual",YEAR(TODAY()),IF(E19="One-time","One-time","Custom"))))))))</x:f>
        <x:v>2026-05</x:v>
      </x:c>
      <x:c r="H19" t="n">
        <x:f>IF(A19="","",IF('Benefits Master'!M19&lt;&gt;"",'Benefits Master'!M19,IF('Benefits Master'!L19="End of Month",EOMONTH(TODAY(),0),IF('Benefits Master'!L19="End of Quarter",EOMONTH(DATE(YEAR(TODAY()),ROUNDUP(MONTH(TODAY())/3,0)*3,1),0),IF('Benefits Master'!L19="June 30",DATE(YEAR(TODAY()),6,30),IF('Benefits Master'!L19="Dec 31",DATE(YEAR(TODAY()),12,31),IF('Benefits Master'!L19="Card Anniversary","Enter open date",IF('Benefits Master'!L19="Specific Date","Set specific date",DATE(YEAR(TODAY()),12,31)))))))))</x:f>
        <x:v>46173</x:v>
      </x:c>
      <x:c r="I19" t="n">
        <x:f>IF(A19="","",'Benefits Master'!H19)</x:f>
        <x:v>15</x:v>
      </x:c>
      <x:c r="J19" t="n">
        <x:f>IF(A19="","",SUMIFS('Benefit Usage Log'!$H:$H,'Benefit Usage Log'!$E:$E,A19,'Benefit Usage Log'!$G:$G,G19))</x:f>
        <x:v>0</x:v>
      </x:c>
      <x:c r="K19" t="n">
        <x:f>IF(A19="","",MAX(0,I19-J19))</x:f>
        <x:v>15</x:v>
      </x:c>
      <x:c r="L19" t="n">
        <x:f>IF(A19="","",IF(I19=0,0,MIN(1,J19/I19)))</x:f>
        <x:v>0</x:v>
      </x:c>
      <x:c r="M19" t="str">
        <x:f>IF(A19="","",IF(ISNUMBER(H19)=FALSE,"Review Terms",IF(J19&gt;=I19,"Used",IF(AND(J19&gt;0,J19&lt;I19,H19&lt;TODAY()),"Missed",IF(AND(J19=0,H19&lt;TODAY()),"Missed",IF(AND(I19-J19&gt;0,H19-TODAY()&lt;='Benefits Master'!N19),"Expiring Soon",IF(J19&gt;0,"Partially Used","Not Used")))))))</x:f>
        <x:v>Not Used</x:v>
      </x:c>
      <x:c r="N19" t="n">
        <x:f>IF(A19="","",IF(ISNUMBER(H19),H19-TODAY(),""))</x:f>
        <x:v>29</x:v>
      </x:c>
      <x:c r="O19" t="str">
        <x:f>IF(A19="","",'Benefits Master'!P19)</x:f>
        <x:v>High</x:v>
      </x:c>
      <x:c r="P19" t="str">
        <x:f>IF(A19="","",'Benefits Master'!Q19)</x:f>
        <x:v>Yes</x:v>
      </x:c>
      <x:c r="Q19" t="str">
        <x:f>IF(A19="","",'Benefits Master'!S19)</x:f>
        <x:v>$15 monthly Uber Cash; December typically has bonus cash.</x:v>
      </x:c>
    </x:row>
    <x:row r="20">
      <x:c r="A20" t="str">
        <x:f>IF('Benefits Master'!A20="","",'Benefits Master'!A20)</x:f>
        <x:v>amex_platinum_p2_digital_entertainment</x:v>
      </x:c>
      <x:c r="B20" t="str">
        <x:f>IF(A20="","",'Benefits Master'!B20)</x:f>
        <x:v>Person 2</x:v>
      </x:c>
      <x:c r="C20" t="str">
        <x:f>IF(A20="","",'Benefits Master'!D20)</x:f>
        <x:v>American Express Platinum Card</x:v>
      </x:c>
      <x:c r="D20" t="str">
        <x:f>IF(A20="","",'Benefits Master'!E20)</x:f>
        <x:v>Digital Entertainment Credit</x:v>
      </x:c>
      <x:c r="E20" t="str">
        <x:f>IF(A20="","",'Benefits Master'!J20)</x:f>
        <x:v>Monthly</x:v>
      </x:c>
      <x:c r="F20" t="str">
        <x:f>IF(A20="","",'Benefits Master'!K20)</x:f>
        <x:v>Calendar Month</x:v>
      </x:c>
      <x:c r="G20" t="str">
        <x:f>IF(A20="","",IF(F20="Jan-Jun",YEAR(TODAY())&amp;"-H1",IF(F20="Jul-Dec",YEAR(TODAY())&amp;"-H2",IF(E20="Monthly",TEXT(TODAY(),"yyyy-mm"),IF(E20="Quarterly",YEAR(TODAY())&amp;"-Q"&amp;ROUNDUP(MONTH(TODAY())/3,0),IF(E20="Semiannual",IF(MONTH(TODAY())&lt;=6,YEAR(TODAY())&amp;"-H1",YEAR(TODAY())&amp;"-H2"),IF(E20="Annual",YEAR(TODAY()),IF(E20="One-time","One-time","Custom"))))))))</x:f>
        <x:v>2026-05</x:v>
      </x:c>
      <x:c r="H20" t="n">
        <x:f>IF(A20="","",IF('Benefits Master'!M20&lt;&gt;"",'Benefits Master'!M20,IF('Benefits Master'!L20="End of Month",EOMONTH(TODAY(),0),IF('Benefits Master'!L20="End of Quarter",EOMONTH(DATE(YEAR(TODAY()),ROUNDUP(MONTH(TODAY())/3,0)*3,1),0),IF('Benefits Master'!L20="June 30",DATE(YEAR(TODAY()),6,30),IF('Benefits Master'!L20="Dec 31",DATE(YEAR(TODAY()),12,31),IF('Benefits Master'!L20="Card Anniversary","Enter open date",IF('Benefits Master'!L20="Specific Date","Set specific date",DATE(YEAR(TODAY()),12,31)))))))))</x:f>
        <x:v>46173</x:v>
      </x:c>
      <x:c r="I20" t="n">
        <x:f>IF(A20="","",'Benefits Master'!H20)</x:f>
        <x:v>25</x:v>
      </x:c>
      <x:c r="J20" t="n">
        <x:f>IF(A20="","",SUMIFS('Benefit Usage Log'!$H:$H,'Benefit Usage Log'!$E:$E,A20,'Benefit Usage Log'!$G:$G,G20))</x:f>
        <x:v>0</x:v>
      </x:c>
      <x:c r="K20" t="n">
        <x:f>IF(A20="","",MAX(0,I20-J20))</x:f>
        <x:v>25</x:v>
      </x:c>
      <x:c r="L20" t="n">
        <x:f>IF(A20="","",IF(I20=0,0,MIN(1,J20/I20)))</x:f>
        <x:v>0</x:v>
      </x:c>
      <x:c r="M20" t="str">
        <x:f>IF(A20="","",IF(ISNUMBER(H20)=FALSE,"Review Terms",IF(J20&gt;=I20,"Used",IF(AND(J20&gt;0,J20&lt;I20,H20&lt;TODAY()),"Missed",IF(AND(J20=0,H20&lt;TODAY()),"Missed",IF(AND(I20-J20&gt;0,H20-TODAY()&lt;='Benefits Master'!N20),"Expiring Soon",IF(J20&gt;0,"Partially Used","Not Used")))))))</x:f>
        <x:v>Not Used</x:v>
      </x:c>
      <x:c r="N20" t="n">
        <x:f>IF(A20="","",IF(ISNUMBER(H20),H20-TODAY(),""))</x:f>
        <x:v>29</x:v>
      </x:c>
      <x:c r="O20" t="str">
        <x:f>IF(A20="","",'Benefits Master'!P20)</x:f>
        <x:v>High</x:v>
      </x:c>
      <x:c r="P20" t="str">
        <x:f>IF(A20="","",'Benefits Master'!Q20)</x:f>
        <x:v>Yes</x:v>
      </x:c>
      <x:c r="Q20" t="str">
        <x:f>IF(A20="","",'Benefits Master'!S20)</x:f>
        <x:v>Up to $25/month; enrollment required.</x:v>
      </x:c>
    </x:row>
    <x:row r="21">
      <x:c r="A21" t="str">
        <x:f>IF('Benefits Master'!A21="","",'Benefits Master'!A21)</x:f>
        <x:v>amex_platinum_p2_resy_quarterly</x:v>
      </x:c>
      <x:c r="B21" t="str">
        <x:f>IF(A21="","",'Benefits Master'!B21)</x:f>
        <x:v>Person 2</x:v>
      </x:c>
      <x:c r="C21" t="str">
        <x:f>IF(A21="","",'Benefits Master'!D21)</x:f>
        <x:v>American Express Platinum Card</x:v>
      </x:c>
      <x:c r="D21" t="str">
        <x:f>IF(A21="","",'Benefits Master'!E21)</x:f>
        <x:v>Resy Credit</x:v>
      </x:c>
      <x:c r="E21" t="str">
        <x:f>IF(A21="","",'Benefits Master'!J21)</x:f>
        <x:v>Quarterly</x:v>
      </x:c>
      <x:c r="F21" t="str">
        <x:f>IF(A21="","",'Benefits Master'!K21)</x:f>
        <x:v>Calendar Quarter</x:v>
      </x:c>
      <x:c r="G21" t="str">
        <x:f>IF(A21="","",IF(F21="Jan-Jun",YEAR(TODAY())&amp;"-H1",IF(F21="Jul-Dec",YEAR(TODAY())&amp;"-H2",IF(E21="Monthly",TEXT(TODAY(),"yyyy-mm"),IF(E21="Quarterly",YEAR(TODAY())&amp;"-Q"&amp;ROUNDUP(MONTH(TODAY())/3,0),IF(E21="Semiannual",IF(MONTH(TODAY())&lt;=6,YEAR(TODAY())&amp;"-H1",YEAR(TODAY())&amp;"-H2"),IF(E21="Annual",YEAR(TODAY()),IF(E21="One-time","One-time","Custom"))))))))</x:f>
        <x:v>2026-Q2</x:v>
      </x:c>
      <x:c r="H21" t="n">
        <x:f>IF(A21="","",IF('Benefits Master'!M21&lt;&gt;"",'Benefits Master'!M21,IF('Benefits Master'!L21="End of Month",EOMONTH(TODAY(),0),IF('Benefits Master'!L21="End of Quarter",EOMONTH(DATE(YEAR(TODAY()),ROUNDUP(MONTH(TODAY())/3,0)*3,1),0),IF('Benefits Master'!L21="June 30",DATE(YEAR(TODAY()),6,30),IF('Benefits Master'!L21="Dec 31",DATE(YEAR(TODAY()),12,31),IF('Benefits Master'!L21="Card Anniversary","Enter open date",IF('Benefits Master'!L21="Specific Date","Set specific date",DATE(YEAR(TODAY()),12,31)))))))))</x:f>
        <x:v>46203</x:v>
      </x:c>
      <x:c r="I21" t="n">
        <x:f>IF(A21="","",'Benefits Master'!H21)</x:f>
        <x:v>100</x:v>
      </x:c>
      <x:c r="J21" t="n">
        <x:f>IF(A21="","",SUMIFS('Benefit Usage Log'!$H:$H,'Benefit Usage Log'!$E:$E,A21,'Benefit Usage Log'!$G:$G,G21))</x:f>
        <x:v>0</x:v>
      </x:c>
      <x:c r="K21" t="n">
        <x:f>IF(A21="","",MAX(0,I21-J21))</x:f>
        <x:v>100</x:v>
      </x:c>
      <x:c r="L21" t="n">
        <x:f>IF(A21="","",IF(I21=0,0,MIN(1,J21/I21)))</x:f>
        <x:v>0</x:v>
      </x:c>
      <x:c r="M21" t="str">
        <x:f>IF(A21="","",IF(ISNUMBER(H21)=FALSE,"Review Terms",IF(J21&gt;=I21,"Used",IF(AND(J21&gt;0,J21&lt;I21,H21&lt;TODAY()),"Missed",IF(AND(J21=0,H21&lt;TODAY()),"Missed",IF(AND(I21-J21&gt;0,H21-TODAY()&lt;='Benefits Master'!N21),"Expiring Soon",IF(J21&gt;0,"Partially Used","Not Used")))))))</x:f>
        <x:v>Not Used</x:v>
      </x:c>
      <x:c r="N21" t="n">
        <x:f>IF(A21="","",IF(ISNUMBER(H21),H21-TODAY(),""))</x:f>
        <x:v>59</x:v>
      </x:c>
      <x:c r="O21" t="str">
        <x:f>IF(A21="","",'Benefits Master'!P21)</x:f>
        <x:v>High</x:v>
      </x:c>
      <x:c r="P21" t="str">
        <x:f>IF(A21="","",'Benefits Master'!Q21)</x:f>
        <x:v>Yes</x:v>
      </x:c>
      <x:c r="Q21" t="str">
        <x:f>IF(A21="","",'Benefits Master'!S21)</x:f>
        <x:v>Up to $100 per quarter on eligible Resy purchases; enrollment required.</x:v>
      </x:c>
    </x:row>
    <x:row r="22">
      <x:c r="A22" t="str">
        <x:f>IF('Benefits Master'!A22="","",'Benefits Master'!A22)</x:f>
        <x:v>amex_platinum_p2_lululemon_quarterly</x:v>
      </x:c>
      <x:c r="B22" t="str">
        <x:f>IF(A22="","",'Benefits Master'!B22)</x:f>
        <x:v>Person 2</x:v>
      </x:c>
      <x:c r="C22" t="str">
        <x:f>IF(A22="","",'Benefits Master'!D22)</x:f>
        <x:v>American Express Platinum Card</x:v>
      </x:c>
      <x:c r="D22" t="str">
        <x:f>IF(A22="","",'Benefits Master'!E22)</x:f>
        <x:v>lululemon Credit</x:v>
      </x:c>
      <x:c r="E22" t="str">
        <x:f>IF(A22="","",'Benefits Master'!J22)</x:f>
        <x:v>Quarterly</x:v>
      </x:c>
      <x:c r="F22" t="str">
        <x:f>IF(A22="","",'Benefits Master'!K22)</x:f>
        <x:v>Calendar Quarter</x:v>
      </x:c>
      <x:c r="G22" t="str">
        <x:f>IF(A22="","",IF(F22="Jan-Jun",YEAR(TODAY())&amp;"-H1",IF(F22="Jul-Dec",YEAR(TODAY())&amp;"-H2",IF(E22="Monthly",TEXT(TODAY(),"yyyy-mm"),IF(E22="Quarterly",YEAR(TODAY())&amp;"-Q"&amp;ROUNDUP(MONTH(TODAY())/3,0),IF(E22="Semiannual",IF(MONTH(TODAY())&lt;=6,YEAR(TODAY())&amp;"-H1",YEAR(TODAY())&amp;"-H2"),IF(E22="Annual",YEAR(TODAY()),IF(E22="One-time","One-time","Custom"))))))))</x:f>
        <x:v>2026-Q2</x:v>
      </x:c>
      <x:c r="H22" t="n">
        <x:f>IF(A22="","",IF('Benefits Master'!M22&lt;&gt;"",'Benefits Master'!M22,IF('Benefits Master'!L22="End of Month",EOMONTH(TODAY(),0),IF('Benefits Master'!L22="End of Quarter",EOMONTH(DATE(YEAR(TODAY()),ROUNDUP(MONTH(TODAY())/3,0)*3,1),0),IF('Benefits Master'!L22="June 30",DATE(YEAR(TODAY()),6,30),IF('Benefits Master'!L22="Dec 31",DATE(YEAR(TODAY()),12,31),IF('Benefits Master'!L22="Card Anniversary","Enter open date",IF('Benefits Master'!L22="Specific Date","Set specific date",DATE(YEAR(TODAY()),12,31)))))))))</x:f>
        <x:v>46203</x:v>
      </x:c>
      <x:c r="I22" t="n">
        <x:f>IF(A22="","",'Benefits Master'!H22)</x:f>
        <x:v>75</x:v>
      </x:c>
      <x:c r="J22" t="n">
        <x:f>IF(A22="","",SUMIFS('Benefit Usage Log'!$H:$H,'Benefit Usage Log'!$E:$E,A22,'Benefit Usage Log'!$G:$G,G22))</x:f>
        <x:v>0</x:v>
      </x:c>
      <x:c r="K22" t="n">
        <x:f>IF(A22="","",MAX(0,I22-J22))</x:f>
        <x:v>75</x:v>
      </x:c>
      <x:c r="L22" t="n">
        <x:f>IF(A22="","",IF(I22=0,0,MIN(1,J22/I22)))</x:f>
        <x:v>0</x:v>
      </x:c>
      <x:c r="M22" t="str">
        <x:f>IF(A22="","",IF(ISNUMBER(H22)=FALSE,"Review Terms",IF(J22&gt;=I22,"Used",IF(AND(J22&gt;0,J22&lt;I22,H22&lt;TODAY()),"Missed",IF(AND(J22=0,H22&lt;TODAY()),"Missed",IF(AND(I22-J22&gt;0,H22-TODAY()&lt;='Benefits Master'!N22),"Expiring Soon",IF(J22&gt;0,"Partially Used","Not Used")))))))</x:f>
        <x:v>Not Used</x:v>
      </x:c>
      <x:c r="N22" t="n">
        <x:f>IF(A22="","",IF(ISNUMBER(H22),H22-TODAY(),""))</x:f>
        <x:v>59</x:v>
      </x:c>
      <x:c r="O22" t="str">
        <x:f>IF(A22="","",'Benefits Master'!P22)</x:f>
        <x:v>Medium</x:v>
      </x:c>
      <x:c r="P22" t="str">
        <x:f>IF(A22="","",'Benefits Master'!Q22)</x:f>
        <x:v>Yes</x:v>
      </x:c>
      <x:c r="Q22" t="str">
        <x:f>IF(A22="","",'Benefits Master'!S22)</x:f>
        <x:v>Up to $75/quarter at eligible lululemon stores; enrollment required.</x:v>
      </x:c>
    </x:row>
    <x:row r="23">
      <x:c r="A23" t="str">
        <x:f>IF('Benefits Master'!A23="","",'Benefits Master'!A23)</x:f>
        <x:v>amex_platinum_p2_hotel_h1</x:v>
      </x:c>
      <x:c r="B23" t="str">
        <x:f>IF(A23="","",'Benefits Master'!B23)</x:f>
        <x:v>Person 2</x:v>
      </x:c>
      <x:c r="C23" t="str">
        <x:f>IF(A23="","",'Benefits Master'!D23)</x:f>
        <x:v>American Express Platinum Card</x:v>
      </x:c>
      <x:c r="D23" t="str">
        <x:f>IF(A23="","",'Benefits Master'!E23)</x:f>
        <x:v>Hotel Credit H1</x:v>
      </x:c>
      <x:c r="E23" t="str">
        <x:f>IF(A23="","",'Benefits Master'!J23)</x:f>
        <x:v>Semiannual</x:v>
      </x:c>
      <x:c r="F23" t="str">
        <x:f>IF(A23="","",'Benefits Master'!K23)</x:f>
        <x:v>Jan-Jun</x:v>
      </x:c>
      <x:c r="G23" t="str">
        <x:f>IF(A23="","",IF(F23="Jan-Jun",YEAR(TODAY())&amp;"-H1",IF(F23="Jul-Dec",YEAR(TODAY())&amp;"-H2",IF(E23="Monthly",TEXT(TODAY(),"yyyy-mm"),IF(E23="Quarterly",YEAR(TODAY())&amp;"-Q"&amp;ROUNDUP(MONTH(TODAY())/3,0),IF(E23="Semiannual",IF(MONTH(TODAY())&lt;=6,YEAR(TODAY())&amp;"-H1",YEAR(TODAY())&amp;"-H2"),IF(E23="Annual",YEAR(TODAY()),IF(E23="One-time","One-time","Custom"))))))))</x:f>
        <x:v>2026-H1</x:v>
      </x:c>
      <x:c r="H23" t="n">
        <x:f>IF(A23="","",IF('Benefits Master'!M23&lt;&gt;"",'Benefits Master'!M23,IF('Benefits Master'!L23="End of Month",EOMONTH(TODAY(),0),IF('Benefits Master'!L23="End of Quarter",EOMONTH(DATE(YEAR(TODAY()),ROUNDUP(MONTH(TODAY())/3,0)*3,1),0),IF('Benefits Master'!L23="June 30",DATE(YEAR(TODAY()),6,30),IF('Benefits Master'!L23="Dec 31",DATE(YEAR(TODAY()),12,31),IF('Benefits Master'!L23="Card Anniversary","Enter open date",IF('Benefits Master'!L23="Specific Date","Set specific date",DATE(YEAR(TODAY()),12,31)))))))))</x:f>
        <x:v>46203</x:v>
      </x:c>
      <x:c r="I23" t="n">
        <x:f>IF(A23="","",'Benefits Master'!H23)</x:f>
        <x:v>300</x:v>
      </x:c>
      <x:c r="J23" t="n">
        <x:f>IF(A23="","",SUMIFS('Benefit Usage Log'!$H:$H,'Benefit Usage Log'!$E:$E,A23,'Benefit Usage Log'!$G:$G,G23))</x:f>
        <x:v>0</x:v>
      </x:c>
      <x:c r="K23" t="n">
        <x:f>IF(A23="","",MAX(0,I23-J23))</x:f>
        <x:v>300</x:v>
      </x:c>
      <x:c r="L23" t="n">
        <x:f>IF(A23="","",IF(I23=0,0,MIN(1,J23/I23)))</x:f>
        <x:v>0</x:v>
      </x:c>
      <x:c r="M23" t="str">
        <x:f>IF(A23="","",IF(ISNUMBER(H23)=FALSE,"Review Terms",IF(J23&gt;=I23,"Used",IF(AND(J23&gt;0,J23&lt;I23,H23&lt;TODAY()),"Missed",IF(AND(J23=0,H23&lt;TODAY()),"Missed",IF(AND(I23-J23&gt;0,H23-TODAY()&lt;='Benefits Master'!N23),"Expiring Soon",IF(J23&gt;0,"Partially Used","Not Used")))))))</x:f>
        <x:v>Not Used</x:v>
      </x:c>
      <x:c r="N23" t="n">
        <x:f>IF(A23="","",IF(ISNUMBER(H23),H23-TODAY(),""))</x:f>
        <x:v>59</x:v>
      </x:c>
      <x:c r="O23" t="str">
        <x:f>IF(A23="","",'Benefits Master'!P23)</x:f>
        <x:v>High</x:v>
      </x:c>
      <x:c r="P23" t="str">
        <x:f>IF(A23="","",'Benefits Master'!Q23)</x:f>
        <x:v>Yes</x:v>
      </x:c>
      <x:c r="Q23" t="str">
        <x:f>IF(A23="","",'Benefits Master'!S23)</x:f>
        <x:v>Up to $300 Jan-Jun on prepaid FHR/The Hotel Collection via Amex Travel.</x:v>
      </x:c>
    </x:row>
    <x:row r="24">
      <x:c r="A24" t="str">
        <x:f>IF('Benefits Master'!A24="","",'Benefits Master'!A24)</x:f>
        <x:v>amex_platinum_p2_hotel_h2</x:v>
      </x:c>
      <x:c r="B24" t="str">
        <x:f>IF(A24="","",'Benefits Master'!B24)</x:f>
        <x:v>Person 2</x:v>
      </x:c>
      <x:c r="C24" t="str">
        <x:f>IF(A24="","",'Benefits Master'!D24)</x:f>
        <x:v>American Express Platinum Card</x:v>
      </x:c>
      <x:c r="D24" t="str">
        <x:f>IF(A24="","",'Benefits Master'!E24)</x:f>
        <x:v>Hotel Credit H2</x:v>
      </x:c>
      <x:c r="E24" t="str">
        <x:f>IF(A24="","",'Benefits Master'!J24)</x:f>
        <x:v>Semiannual</x:v>
      </x:c>
      <x:c r="F24" t="str">
        <x:f>IF(A24="","",'Benefits Master'!K24)</x:f>
        <x:v>Jul-Dec</x:v>
      </x:c>
      <x:c r="G24" t="str">
        <x:f>IF(A24="","",IF(F24="Jan-Jun",YEAR(TODAY())&amp;"-H1",IF(F24="Jul-Dec",YEAR(TODAY())&amp;"-H2",IF(E24="Monthly",TEXT(TODAY(),"yyyy-mm"),IF(E24="Quarterly",YEAR(TODAY())&amp;"-Q"&amp;ROUNDUP(MONTH(TODAY())/3,0),IF(E24="Semiannual",IF(MONTH(TODAY())&lt;=6,YEAR(TODAY())&amp;"-H1",YEAR(TODAY())&amp;"-H2"),IF(E24="Annual",YEAR(TODAY()),IF(E24="One-time","One-time","Custom"))))))))</x:f>
        <x:v>2026-H2</x:v>
      </x:c>
      <x:c r="H24" t="n">
        <x:f>IF(A24="","",IF('Benefits Master'!M24&lt;&gt;"",'Benefits Master'!M24,IF('Benefits Master'!L24="End of Month",EOMONTH(TODAY(),0),IF('Benefits Master'!L24="End of Quarter",EOMONTH(DATE(YEAR(TODAY()),ROUNDUP(MONTH(TODAY())/3,0)*3,1),0),IF('Benefits Master'!L24="June 30",DATE(YEAR(TODAY()),6,30),IF('Benefits Master'!L24="Dec 31",DATE(YEAR(TODAY()),12,31),IF('Benefits Master'!L24="Card Anniversary","Enter open date",IF('Benefits Master'!L24="Specific Date","Set specific date",DATE(YEAR(TODAY()),12,31)))))))))</x:f>
        <x:v>46387</x:v>
      </x:c>
      <x:c r="I24" t="n">
        <x:f>IF(A24="","",'Benefits Master'!H24)</x:f>
        <x:v>300</x:v>
      </x:c>
      <x:c r="J24" t="n">
        <x:f>IF(A24="","",SUMIFS('Benefit Usage Log'!$H:$H,'Benefit Usage Log'!$E:$E,A24,'Benefit Usage Log'!$G:$G,G24))</x:f>
        <x:v>0</x:v>
      </x:c>
      <x:c r="K24" t="n">
        <x:f>IF(A24="","",MAX(0,I24-J24))</x:f>
        <x:v>300</x:v>
      </x:c>
      <x:c r="L24" t="n">
        <x:f>IF(A24="","",IF(I24=0,0,MIN(1,J24/I24)))</x:f>
        <x:v>0</x:v>
      </x:c>
      <x:c r="M24" t="str">
        <x:f>IF(A24="","",IF(ISNUMBER(H24)=FALSE,"Review Terms",IF(J24&gt;=I24,"Used",IF(AND(J24&gt;0,J24&lt;I24,H24&lt;TODAY()),"Missed",IF(AND(J24=0,H24&lt;TODAY()),"Missed",IF(AND(I24-J24&gt;0,H24-TODAY()&lt;='Benefits Master'!N24),"Expiring Soon",IF(J24&gt;0,"Partially Used","Not Used")))))))</x:f>
        <x:v>Not Used</x:v>
      </x:c>
      <x:c r="N24" t="n">
        <x:f>IF(A24="","",IF(ISNUMBER(H24),H24-TODAY(),""))</x:f>
        <x:v>243</x:v>
      </x:c>
      <x:c r="O24" t="str">
        <x:f>IF(A24="","",'Benefits Master'!P24)</x:f>
        <x:v>High</x:v>
      </x:c>
      <x:c r="P24" t="str">
        <x:f>IF(A24="","",'Benefits Master'!Q24)</x:f>
        <x:v>Yes</x:v>
      </x:c>
      <x:c r="Q24" t="str">
        <x:f>IF(A24="","",'Benefits Master'!S24)</x:f>
        <x:v>Up to $300 Jul-Dec on prepaid FHR/The Hotel Collection via Amex Travel.</x:v>
      </x:c>
    </x:row>
    <x:row r="25">
      <x:c r="A25" t="str">
        <x:f>IF('Benefits Master'!A25="","",'Benefits Master'!A25)</x:f>
        <x:v>amex_platinum_p2_airline_incidental</x:v>
      </x:c>
      <x:c r="B25" t="str">
        <x:f>IF(A25="","",'Benefits Master'!B25)</x:f>
        <x:v>Person 2</x:v>
      </x:c>
      <x:c r="C25" t="str">
        <x:f>IF(A25="","",'Benefits Master'!D25)</x:f>
        <x:v>American Express Platinum Card</x:v>
      </x:c>
      <x:c r="D25" t="str">
        <x:f>IF(A25="","",'Benefits Master'!E25)</x:f>
        <x:v>Airline Fee Credit</x:v>
      </x:c>
      <x:c r="E25" t="str">
        <x:f>IF(A25="","",'Benefits Master'!J25)</x:f>
        <x:v>Annual</x:v>
      </x:c>
      <x:c r="F25" t="str">
        <x:f>IF(A25="","",'Benefits Master'!K25)</x:f>
        <x:v>Calendar Year</x:v>
      </x:c>
      <x:c r="G25" t="n">
        <x:f>IF(A25="","",IF(F25="Jan-Jun",YEAR(TODAY())&amp;"-H1",IF(F25="Jul-Dec",YEAR(TODAY())&amp;"-H2",IF(E25="Monthly",TEXT(TODAY(),"yyyy-mm"),IF(E25="Quarterly",YEAR(TODAY())&amp;"-Q"&amp;ROUNDUP(MONTH(TODAY())/3,0),IF(E25="Semiannual",IF(MONTH(TODAY())&lt;=6,YEAR(TODAY())&amp;"-H1",YEAR(TODAY())&amp;"-H2"),IF(E25="Annual",YEAR(TODAY()),IF(E25="One-time","One-time","Custom"))))))))</x:f>
        <x:v>2026</x:v>
      </x:c>
      <x:c r="H25" t="n">
        <x:f>IF(A25="","",IF('Benefits Master'!M25&lt;&gt;"",'Benefits Master'!M25,IF('Benefits Master'!L25="End of Month",EOMONTH(TODAY(),0),IF('Benefits Master'!L25="End of Quarter",EOMONTH(DATE(YEAR(TODAY()),ROUNDUP(MONTH(TODAY())/3,0)*3,1),0),IF('Benefits Master'!L25="June 30",DATE(YEAR(TODAY()),6,30),IF('Benefits Master'!L25="Dec 31",DATE(YEAR(TODAY()),12,31),IF('Benefits Master'!L25="Card Anniversary","Enter open date",IF('Benefits Master'!L25="Specific Date","Set specific date",DATE(YEAR(TODAY()),12,31)))))))))</x:f>
        <x:v>46387</x:v>
      </x:c>
      <x:c r="I25" t="n">
        <x:f>IF(A25="","",'Benefits Master'!H25)</x:f>
        <x:v>200</x:v>
      </x:c>
      <x:c r="J25" t="n">
        <x:f>IF(A25="","",SUMIFS('Benefit Usage Log'!$H:$H,'Benefit Usage Log'!$E:$E,A25,'Benefit Usage Log'!$G:$G,G25))</x:f>
        <x:v>0</x:v>
      </x:c>
      <x:c r="K25" t="n">
        <x:f>IF(A25="","",MAX(0,I25-J25))</x:f>
        <x:v>200</x:v>
      </x:c>
      <x:c r="L25" t="n">
        <x:f>IF(A25="","",IF(I25=0,0,MIN(1,J25/I25)))</x:f>
        <x:v>0</x:v>
      </x:c>
      <x:c r="M25" t="str">
        <x:f>IF(A25="","",IF(ISNUMBER(H25)=FALSE,"Review Terms",IF(J25&gt;=I25,"Used",IF(AND(J25&gt;0,J25&lt;I25,H25&lt;TODAY()),"Missed",IF(AND(J25=0,H25&lt;TODAY()),"Missed",IF(AND(I25-J25&gt;0,H25-TODAY()&lt;='Benefits Master'!N25),"Expiring Soon",IF(J25&gt;0,"Partially Used","Not Used")))))))</x:f>
        <x:v>Not Used</x:v>
      </x:c>
      <x:c r="N25" t="n">
        <x:f>IF(A25="","",IF(ISNUMBER(H25),H25-TODAY(),""))</x:f>
        <x:v>243</x:v>
      </x:c>
      <x:c r="O25" t="str">
        <x:f>IF(A25="","",'Benefits Master'!P25)</x:f>
        <x:v>Medium</x:v>
      </x:c>
      <x:c r="P25" t="str">
        <x:f>IF(A25="","",'Benefits Master'!Q25)</x:f>
        <x:v>Yes</x:v>
      </x:c>
      <x:c r="Q25" t="str">
        <x:f>IF(A25="","",'Benefits Master'!S25)</x:f>
        <x:v>Up to $200/calendar year for airline incidental fees; enrollment required; choose airline.</x:v>
      </x:c>
    </x:row>
    <x:row r="26">
      <x:c r="A26" t="str">
        <x:f>IF('Benefits Master'!A26="","",'Benefits Master'!A26)</x:f>
        <x:v>amex_platinum_p2_walmart_plus</x:v>
      </x:c>
      <x:c r="B26" t="str">
        <x:f>IF(A26="","",'Benefits Master'!B26)</x:f>
        <x:v>Person 2</x:v>
      </x:c>
      <x:c r="C26" t="str">
        <x:f>IF(A26="","",'Benefits Master'!D26)</x:f>
        <x:v>American Express Platinum Card</x:v>
      </x:c>
      <x:c r="D26" t="str">
        <x:f>IF(A26="","",'Benefits Master'!E26)</x:f>
        <x:v>Walmart+ Monthly Credit</x:v>
      </x:c>
      <x:c r="E26" t="str">
        <x:f>IF(A26="","",'Benefits Master'!J26)</x:f>
        <x:v>Monthly</x:v>
      </x:c>
      <x:c r="F26" t="str">
        <x:f>IF(A26="","",'Benefits Master'!K26)</x:f>
        <x:v>Calendar Month</x:v>
      </x:c>
      <x:c r="G26" t="str">
        <x:f>IF(A26="","",IF(F26="Jan-Jun",YEAR(TODAY())&amp;"-H1",IF(F26="Jul-Dec",YEAR(TODAY())&amp;"-H2",IF(E26="Monthly",TEXT(TODAY(),"yyyy-mm"),IF(E26="Quarterly",YEAR(TODAY())&amp;"-Q"&amp;ROUNDUP(MONTH(TODAY())/3,0),IF(E26="Semiannual",IF(MONTH(TODAY())&lt;=6,YEAR(TODAY())&amp;"-H1",YEAR(TODAY())&amp;"-H2"),IF(E26="Annual",YEAR(TODAY()),IF(E26="One-time","One-time","Custom"))))))))</x:f>
        <x:v>2026-05</x:v>
      </x:c>
      <x:c r="H26" t="n">
        <x:f>IF(A26="","",IF('Benefits Master'!M26&lt;&gt;"",'Benefits Master'!M26,IF('Benefits Master'!L26="End of Month",EOMONTH(TODAY(),0),IF('Benefits Master'!L26="End of Quarter",EOMONTH(DATE(YEAR(TODAY()),ROUNDUP(MONTH(TODAY())/3,0)*3,1),0),IF('Benefits Master'!L26="June 30",DATE(YEAR(TODAY()),6,30),IF('Benefits Master'!L26="Dec 31",DATE(YEAR(TODAY()),12,31),IF('Benefits Master'!L26="Card Anniversary","Enter open date",IF('Benefits Master'!L26="Specific Date","Set specific date",DATE(YEAR(TODAY()),12,31)))))))))</x:f>
        <x:v>46173</x:v>
      </x:c>
      <x:c r="I26" t="n">
        <x:f>IF(A26="","",'Benefits Master'!H26)</x:f>
        <x:v>12.95</x:v>
      </x:c>
      <x:c r="J26" t="n">
        <x:f>IF(A26="","",SUMIFS('Benefit Usage Log'!$H:$H,'Benefit Usage Log'!$E:$E,A26,'Benefit Usage Log'!$G:$G,G26))</x:f>
        <x:v>0</x:v>
      </x:c>
      <x:c r="K26" t="n">
        <x:f>IF(A26="","",MAX(0,I26-J26))</x:f>
        <x:v>12.95</x:v>
      </x:c>
      <x:c r="L26" t="n">
        <x:f>IF(A26="","",IF(I26=0,0,MIN(1,J26/I26)))</x:f>
        <x:v>0</x:v>
      </x:c>
      <x:c r="M26" t="str">
        <x:f>IF(A26="","",IF(ISNUMBER(H26)=FALSE,"Review Terms",IF(J26&gt;=I26,"Used",IF(AND(J26&gt;0,J26&lt;I26,H26&lt;TODAY()),"Missed",IF(AND(J26=0,H26&lt;TODAY()),"Missed",IF(AND(I26-J26&gt;0,H26-TODAY()&lt;='Benefits Master'!N26),"Expiring Soon",IF(J26&gt;0,"Partially Used","Not Used")))))))</x:f>
        <x:v>Not Used</x:v>
      </x:c>
      <x:c r="N26" t="n">
        <x:f>IF(A26="","",IF(ISNUMBER(H26),H26-TODAY(),""))</x:f>
        <x:v>29</x:v>
      </x:c>
      <x:c r="O26" t="str">
        <x:f>IF(A26="","",'Benefits Master'!P26)</x:f>
        <x:v>Low</x:v>
      </x:c>
      <x:c r="P26" t="str">
        <x:f>IF(A26="","",'Benefits Master'!Q26)</x:f>
        <x:v>Yes</x:v>
      </x:c>
      <x:c r="Q26" t="str">
        <x:f>IF(A26="","",'Benefits Master'!S26)</x:f>
        <x:v>Monthly Walmart+ statement credit; enrollment required.</x:v>
      </x:c>
    </x:row>
    <x:row r="27">
      <x:c r="A27" t="str">
        <x:f>IF('Benefits Master'!A27="","",'Benefits Master'!A27)</x:f>
        <x:v>amex_platinum_p2_clear_plus</x:v>
      </x:c>
      <x:c r="B27" t="str">
        <x:f>IF(A27="","",'Benefits Master'!B27)</x:f>
        <x:v>Person 2</x:v>
      </x:c>
      <x:c r="C27" t="str">
        <x:f>IF(A27="","",'Benefits Master'!D27)</x:f>
        <x:v>American Express Platinum Card</x:v>
      </x:c>
      <x:c r="D27" t="str">
        <x:f>IF(A27="","",'Benefits Master'!E27)</x:f>
        <x:v>CLEAR+ Credit</x:v>
      </x:c>
      <x:c r="E27" t="str">
        <x:f>IF(A27="","",'Benefits Master'!J27)</x:f>
        <x:v>Annual</x:v>
      </x:c>
      <x:c r="F27" t="str">
        <x:f>IF(A27="","",'Benefits Master'!K27)</x:f>
        <x:v>Calendar Year</x:v>
      </x:c>
      <x:c r="G27" t="n">
        <x:f>IF(A27="","",IF(F27="Jan-Jun",YEAR(TODAY())&amp;"-H1",IF(F27="Jul-Dec",YEAR(TODAY())&amp;"-H2",IF(E27="Monthly",TEXT(TODAY(),"yyyy-mm"),IF(E27="Quarterly",YEAR(TODAY())&amp;"-Q"&amp;ROUNDUP(MONTH(TODAY())/3,0),IF(E27="Semiannual",IF(MONTH(TODAY())&lt;=6,YEAR(TODAY())&amp;"-H1",YEAR(TODAY())&amp;"-H2"),IF(E27="Annual",YEAR(TODAY()),IF(E27="One-time","One-time","Custom"))))))))</x:f>
        <x:v>2026</x:v>
      </x:c>
      <x:c r="H27" t="n">
        <x:f>IF(A27="","",IF('Benefits Master'!M27&lt;&gt;"",'Benefits Master'!M27,IF('Benefits Master'!L27="End of Month",EOMONTH(TODAY(),0),IF('Benefits Master'!L27="End of Quarter",EOMONTH(DATE(YEAR(TODAY()),ROUNDUP(MONTH(TODAY())/3,0)*3,1),0),IF('Benefits Master'!L27="June 30",DATE(YEAR(TODAY()),6,30),IF('Benefits Master'!L27="Dec 31",DATE(YEAR(TODAY()),12,31),IF('Benefits Master'!L27="Card Anniversary","Enter open date",IF('Benefits Master'!L27="Specific Date","Set specific date",DATE(YEAR(TODAY()),12,31)))))))))</x:f>
        <x:v>46387</x:v>
      </x:c>
      <x:c r="I27" t="n">
        <x:f>IF(A27="","",'Benefits Master'!H27)</x:f>
        <x:v>209</x:v>
      </x:c>
      <x:c r="J27" t="n">
        <x:f>IF(A27="","",SUMIFS('Benefit Usage Log'!$H:$H,'Benefit Usage Log'!$E:$E,A27,'Benefit Usage Log'!$G:$G,G27))</x:f>
        <x:v>0</x:v>
      </x:c>
      <x:c r="K27" t="n">
        <x:f>IF(A27="","",MAX(0,I27-J27))</x:f>
        <x:v>209</x:v>
      </x:c>
      <x:c r="L27" t="n">
        <x:f>IF(A27="","",IF(I27=0,0,MIN(1,J27/I27)))</x:f>
        <x:v>0</x:v>
      </x:c>
      <x:c r="M27" t="str">
        <x:f>IF(A27="","",IF(ISNUMBER(H27)=FALSE,"Review Terms",IF(J27&gt;=I27,"Used",IF(AND(J27&gt;0,J27&lt;I27,H27&lt;TODAY()),"Missed",IF(AND(J27=0,H27&lt;TODAY()),"Missed",IF(AND(I27-J27&gt;0,H27-TODAY()&lt;='Benefits Master'!N27),"Expiring Soon",IF(J27&gt;0,"Partially Used","Not Used")))))))</x:f>
        <x:v>Not Used</x:v>
      </x:c>
      <x:c r="N27" t="n">
        <x:f>IF(A27="","",IF(ISNUMBER(H27),H27-TODAY(),""))</x:f>
        <x:v>243</x:v>
      </x:c>
      <x:c r="O27" t="str">
        <x:f>IF(A27="","",'Benefits Master'!P27)</x:f>
        <x:v>Medium</x:v>
      </x:c>
      <x:c r="P27" t="str">
        <x:f>IF(A27="","",'Benefits Master'!Q27)</x:f>
        <x:v>Yes</x:v>
      </x:c>
      <x:c r="Q27" t="str">
        <x:f>IF(A27="","",'Benefits Master'!S27)</x:f>
        <x:v>Up to $209/year for CLEAR+ membership.</x:v>
      </x:c>
    </x:row>
    <x:row r="28">
      <x:c r="A28" t="str">
        <x:f>IF('Benefits Master'!A28="","",'Benefits Master'!A28)</x:f>
        <x:v>amex_platinum_p2_equinox</x:v>
      </x:c>
      <x:c r="B28" t="str">
        <x:f>IF(A28="","",'Benefits Master'!B28)</x:f>
        <x:v>Person 2</x:v>
      </x:c>
      <x:c r="C28" t="str">
        <x:f>IF(A28="","",'Benefits Master'!D28)</x:f>
        <x:v>American Express Platinum Card</x:v>
      </x:c>
      <x:c r="D28" t="str">
        <x:f>IF(A28="","",'Benefits Master'!E28)</x:f>
        <x:v>Equinox Credit</x:v>
      </x:c>
      <x:c r="E28" t="str">
        <x:f>IF(A28="","",'Benefits Master'!J28)</x:f>
        <x:v>Annual</x:v>
      </x:c>
      <x:c r="F28" t="str">
        <x:f>IF(A28="","",'Benefits Master'!K28)</x:f>
        <x:v>Calendar Year</x:v>
      </x:c>
      <x:c r="G28" t="n">
        <x:f>IF(A28="","",IF(F28="Jan-Jun",YEAR(TODAY())&amp;"-H1",IF(F28="Jul-Dec",YEAR(TODAY())&amp;"-H2",IF(E28="Monthly",TEXT(TODAY(),"yyyy-mm"),IF(E28="Quarterly",YEAR(TODAY())&amp;"-Q"&amp;ROUNDUP(MONTH(TODAY())/3,0),IF(E28="Semiannual",IF(MONTH(TODAY())&lt;=6,YEAR(TODAY())&amp;"-H1",YEAR(TODAY())&amp;"-H2"),IF(E28="Annual",YEAR(TODAY()),IF(E28="One-time","One-time","Custom"))))))))</x:f>
        <x:v>2026</x:v>
      </x:c>
      <x:c r="H28" t="n">
        <x:f>IF(A28="","",IF('Benefits Master'!M28&lt;&gt;"",'Benefits Master'!M28,IF('Benefits Master'!L28="End of Month",EOMONTH(TODAY(),0),IF('Benefits Master'!L28="End of Quarter",EOMONTH(DATE(YEAR(TODAY()),ROUNDUP(MONTH(TODAY())/3,0)*3,1),0),IF('Benefits Master'!L28="June 30",DATE(YEAR(TODAY()),6,30),IF('Benefits Master'!L28="Dec 31",DATE(YEAR(TODAY()),12,31),IF('Benefits Master'!L28="Card Anniversary","Enter open date",IF('Benefits Master'!L28="Specific Date","Set specific date",DATE(YEAR(TODAY()),12,31)))))))))</x:f>
        <x:v>46387</x:v>
      </x:c>
      <x:c r="I28" t="n">
        <x:f>IF(A28="","",'Benefits Master'!H28)</x:f>
        <x:v>300</x:v>
      </x:c>
      <x:c r="J28" t="n">
        <x:f>IF(A28="","",SUMIFS('Benefit Usage Log'!$H:$H,'Benefit Usage Log'!$E:$E,A28,'Benefit Usage Log'!$G:$G,G28))</x:f>
        <x:v>0</x:v>
      </x:c>
      <x:c r="K28" t="n">
        <x:f>IF(A28="","",MAX(0,I28-J28))</x:f>
        <x:v>300</x:v>
      </x:c>
      <x:c r="L28" t="n">
        <x:f>IF(A28="","",IF(I28=0,0,MIN(1,J28/I28)))</x:f>
        <x:v>0</x:v>
      </x:c>
      <x:c r="M28" t="str">
        <x:f>IF(A28="","",IF(ISNUMBER(H28)=FALSE,"Review Terms",IF(J28&gt;=I28,"Used",IF(AND(J28&gt;0,J28&lt;I28,H28&lt;TODAY()),"Missed",IF(AND(J28=0,H28&lt;TODAY()),"Missed",IF(AND(I28-J28&gt;0,H28-TODAY()&lt;='Benefits Master'!N28),"Expiring Soon",IF(J28&gt;0,"Partially Used","Not Used")))))))</x:f>
        <x:v>Not Used</x:v>
      </x:c>
      <x:c r="N28" t="n">
        <x:f>IF(A28="","",IF(ISNUMBER(H28),H28-TODAY(),""))</x:f>
        <x:v>243</x:v>
      </x:c>
      <x:c r="O28" t="str">
        <x:f>IF(A28="","",'Benefits Master'!P28)</x:f>
        <x:v>Low</x:v>
      </x:c>
      <x:c r="P28" t="str">
        <x:f>IF(A28="","",'Benefits Master'!Q28)</x:f>
        <x:v>No</x:v>
      </x:c>
      <x:c r="Q28" t="str">
        <x:f>IF(A28="","",'Benefits Master'!S28)</x:f>
        <x:v>Only valuable if you use eligible Equinox membership / app; set Include in Alert to Yes if relevant.</x:v>
      </x:c>
    </x:row>
    <x:row r="29">
      <x:c r="A29" t="str">
        <x:f>IF('Benefits Master'!A29="","",'Benefits Master'!A29)</x:f>
        <x:v>amex_platinum_p2_oura</x:v>
      </x:c>
      <x:c r="B29" t="str">
        <x:f>IF(A29="","",'Benefits Master'!B29)</x:f>
        <x:v>Person 2</x:v>
      </x:c>
      <x:c r="C29" t="str">
        <x:f>IF(A29="","",'Benefits Master'!D29)</x:f>
        <x:v>American Express Platinum Card</x:v>
      </x:c>
      <x:c r="D29" t="str">
        <x:f>IF(A29="","",'Benefits Master'!E29)</x:f>
        <x:v>Oura Ring Credit</x:v>
      </x:c>
      <x:c r="E29" t="str">
        <x:f>IF(A29="","",'Benefits Master'!J29)</x:f>
        <x:v>Annual</x:v>
      </x:c>
      <x:c r="F29" t="str">
        <x:f>IF(A29="","",'Benefits Master'!K29)</x:f>
        <x:v>Calendar Year</x:v>
      </x:c>
      <x:c r="G29" t="n">
        <x:f>IF(A29="","",IF(F29="Jan-Jun",YEAR(TODAY())&amp;"-H1",IF(F29="Jul-Dec",YEAR(TODAY())&amp;"-H2",IF(E29="Monthly",TEXT(TODAY(),"yyyy-mm"),IF(E29="Quarterly",YEAR(TODAY())&amp;"-Q"&amp;ROUNDUP(MONTH(TODAY())/3,0),IF(E29="Semiannual",IF(MONTH(TODAY())&lt;=6,YEAR(TODAY())&amp;"-H1",YEAR(TODAY())&amp;"-H2"),IF(E29="Annual",YEAR(TODAY()),IF(E29="One-time","One-time","Custom"))))))))</x:f>
        <x:v>2026</x:v>
      </x:c>
      <x:c r="H29" t="n">
        <x:f>IF(A29="","",IF('Benefits Master'!M29&lt;&gt;"",'Benefits Master'!M29,IF('Benefits Master'!L29="End of Month",EOMONTH(TODAY(),0),IF('Benefits Master'!L29="End of Quarter",EOMONTH(DATE(YEAR(TODAY()),ROUNDUP(MONTH(TODAY())/3,0)*3,1),0),IF('Benefits Master'!L29="June 30",DATE(YEAR(TODAY()),6,30),IF('Benefits Master'!L29="Dec 31",DATE(YEAR(TODAY()),12,31),IF('Benefits Master'!L29="Card Anniversary","Enter open date",IF('Benefits Master'!L29="Specific Date","Set specific date",DATE(YEAR(TODAY()),12,31)))))))))</x:f>
        <x:v>46387</x:v>
      </x:c>
      <x:c r="I29" t="n">
        <x:f>IF(A29="","",'Benefits Master'!H29)</x:f>
        <x:v>200</x:v>
      </x:c>
      <x:c r="J29" t="n">
        <x:f>IF(A29="","",SUMIFS('Benefit Usage Log'!$H:$H,'Benefit Usage Log'!$E:$E,A29,'Benefit Usage Log'!$G:$G,G29))</x:f>
        <x:v>0</x:v>
      </x:c>
      <x:c r="K29" t="n">
        <x:f>IF(A29="","",MAX(0,I29-J29))</x:f>
        <x:v>200</x:v>
      </x:c>
      <x:c r="L29" t="n">
        <x:f>IF(A29="","",IF(I29=0,0,MIN(1,J29/I29)))</x:f>
        <x:v>0</x:v>
      </x:c>
      <x:c r="M29" t="str">
        <x:f>IF(A29="","",IF(ISNUMBER(H29)=FALSE,"Review Terms",IF(J29&gt;=I29,"Used",IF(AND(J29&gt;0,J29&lt;I29,H29&lt;TODAY()),"Missed",IF(AND(J29=0,H29&lt;TODAY()),"Missed",IF(AND(I29-J29&gt;0,H29-TODAY()&lt;='Benefits Master'!N29),"Expiring Soon",IF(J29&gt;0,"Partially Used","Not Used")))))))</x:f>
        <x:v>Not Used</x:v>
      </x:c>
      <x:c r="N29" t="n">
        <x:f>IF(A29="","",IF(ISNUMBER(H29),H29-TODAY(),""))</x:f>
        <x:v>243</x:v>
      </x:c>
      <x:c r="O29" t="str">
        <x:f>IF(A29="","",'Benefits Master'!P29)</x:f>
        <x:v>Low</x:v>
      </x:c>
      <x:c r="P29" t="str">
        <x:f>IF(A29="","",'Benefits Master'!Q29)</x:f>
        <x:v>No</x:v>
      </x:c>
      <x:c r="Q29" t="str">
        <x:f>IF(A29="","",'Benefits Master'!S29)</x:f>
        <x:v>Track only if you plan to use Oura credit.</x:v>
      </x:c>
    </x:row>
    <x:row r="30">
      <x:c r="A30" t="str">
        <x:f>IF('Benefits Master'!A30="","",'Benefits Master'!A30)</x:f>
        <x:v>amex_platinum_p2_saks_final_h1</x:v>
      </x:c>
      <x:c r="B30" t="str">
        <x:f>IF(A30="","",'Benefits Master'!B30)</x:f>
        <x:v>Person 2</x:v>
      </x:c>
      <x:c r="C30" t="str">
        <x:f>IF(A30="","",'Benefits Master'!D30)</x:f>
        <x:v>American Express Platinum Card</x:v>
      </x:c>
      <x:c r="D30" t="str">
        <x:f>IF(A30="","",'Benefits Master'!E30)</x:f>
        <x:v>Saks Credit Final H1</x:v>
      </x:c>
      <x:c r="E30" t="str">
        <x:f>IF(A30="","",'Benefits Master'!J30)</x:f>
        <x:v>Semiannual</x:v>
      </x:c>
      <x:c r="F30" t="str">
        <x:f>IF(A30="","",'Benefits Master'!K30)</x:f>
        <x:v>Jan-Jun</x:v>
      </x:c>
      <x:c r="G30" t="str">
        <x:f>IF(A30="","",IF(F30="Jan-Jun",YEAR(TODAY())&amp;"-H1",IF(F30="Jul-Dec",YEAR(TODAY())&amp;"-H2",IF(E30="Monthly",TEXT(TODAY(),"yyyy-mm"),IF(E30="Quarterly",YEAR(TODAY())&amp;"-Q"&amp;ROUNDUP(MONTH(TODAY())/3,0),IF(E30="Semiannual",IF(MONTH(TODAY())&lt;=6,YEAR(TODAY())&amp;"-H1",YEAR(TODAY())&amp;"-H2"),IF(E30="Annual",YEAR(TODAY()),IF(E30="One-time","One-time","Custom"))))))))</x:f>
        <x:v>2026-H1</x:v>
      </x:c>
      <x:c r="H30" t="n">
        <x:f>IF(A30="","",IF('Benefits Master'!M30&lt;&gt;"",'Benefits Master'!M30,IF('Benefits Master'!L30="End of Month",EOMONTH(TODAY(),0),IF('Benefits Master'!L30="End of Quarter",EOMONTH(DATE(YEAR(TODAY()),ROUNDUP(MONTH(TODAY())/3,0)*3,1),0),IF('Benefits Master'!L30="June 30",DATE(YEAR(TODAY()),6,30),IF('Benefits Master'!L30="Dec 31",DATE(YEAR(TODAY()),12,31),IF('Benefits Master'!L30="Card Anniversary","Enter open date",IF('Benefits Master'!L30="Specific Date","Set specific date",DATE(YEAR(TODAY()),12,31)))))))))</x:f>
        <x:v>46203</x:v>
      </x:c>
      <x:c r="I30" t="n">
        <x:f>IF(A30="","",'Benefits Master'!H30)</x:f>
        <x:v>50</x:v>
      </x:c>
      <x:c r="J30" t="n">
        <x:f>IF(A30="","",SUMIFS('Benefit Usage Log'!$H:$H,'Benefit Usage Log'!$E:$E,A30,'Benefit Usage Log'!$G:$G,G30))</x:f>
        <x:v>0</x:v>
      </x:c>
      <x:c r="K30" t="n">
        <x:f>IF(A30="","",MAX(0,I30-J30))</x:f>
        <x:v>50</x:v>
      </x:c>
      <x:c r="L30" t="n">
        <x:f>IF(A30="","",IF(I30=0,0,MIN(1,J30/I30)))</x:f>
        <x:v>0</x:v>
      </x:c>
      <x:c r="M30" t="str">
        <x:f>IF(A30="","",IF(ISNUMBER(H30)=FALSE,"Review Terms",IF(J30&gt;=I30,"Used",IF(AND(J30&gt;0,J30&lt;I30,H30&lt;TODAY()),"Missed",IF(AND(J30=0,H30&lt;TODAY()),"Missed",IF(AND(I30-J30&gt;0,H30-TODAY()&lt;='Benefits Master'!N30),"Expiring Soon",IF(J30&gt;0,"Partially Used","Not Used")))))))</x:f>
        <x:v>Not Used</x:v>
      </x:c>
      <x:c r="N30" t="n">
        <x:f>IF(A30="","",IF(ISNUMBER(H30),H30-TODAY(),""))</x:f>
        <x:v>59</x:v>
      </x:c>
      <x:c r="O30" t="str">
        <x:f>IF(A30="","",'Benefits Master'!P30)</x:f>
        <x:v>Medium</x:v>
      </x:c>
      <x:c r="P30" t="str">
        <x:f>IF(A30="","",'Benefits Master'!Q30)</x:f>
        <x:v>Yes</x:v>
      </x:c>
      <x:c r="Q30" t="str">
        <x:f>IF(A30="","",'Benefits Master'!S30)</x:f>
        <x:v>Saks credit expected to end July 1, 2026; verify eligibility.</x:v>
      </x:c>
    </x:row>
    <x:row r="31">
      <x:c r="A31" t="str">
        <x:f>IF('Benefits Master'!A31="","",'Benefits Master'!A31)</x:f>
        <x:v>chase_sapphire_preferred_p1_hotel_annual</x:v>
      </x:c>
      <x:c r="B31" t="str">
        <x:f>IF(A31="","",'Benefits Master'!B31)</x:f>
        <x:v>Person 1</x:v>
      </x:c>
      <x:c r="C31" t="str">
        <x:f>IF(A31="","",'Benefits Master'!D31)</x:f>
        <x:v>Chase Sapphire Preferred</x:v>
      </x:c>
      <x:c r="D31" t="str">
        <x:f>IF(A31="","",'Benefits Master'!E31)</x:f>
        <x:v>Chase Travel Hotel Credit</x:v>
      </x:c>
      <x:c r="E31" t="str">
        <x:f>IF(A31="","",'Benefits Master'!J31)</x:f>
        <x:v>Annual</x:v>
      </x:c>
      <x:c r="F31" t="str">
        <x:f>IF(A31="","",'Benefits Master'!K31)</x:f>
        <x:v>Cardmember Year</x:v>
      </x:c>
      <x:c r="G31" t="n">
        <x:f>IF(A31="","",IF(F31="Jan-Jun",YEAR(TODAY())&amp;"-H1",IF(F31="Jul-Dec",YEAR(TODAY())&amp;"-H2",IF(E31="Monthly",TEXT(TODAY(),"yyyy-mm"),IF(E31="Quarterly",YEAR(TODAY())&amp;"-Q"&amp;ROUNDUP(MONTH(TODAY())/3,0),IF(E31="Semiannual",IF(MONTH(TODAY())&lt;=6,YEAR(TODAY())&amp;"-H1",YEAR(TODAY())&amp;"-H2"),IF(E31="Annual",YEAR(TODAY()),IF(E31="One-time","One-time","Custom"))))))))</x:f>
        <x:v>2026</x:v>
      </x:c>
      <x:c r="H31" t="str">
        <x:f>IF(A31="","",IF('Benefits Master'!M31&lt;&gt;"",'Benefits Master'!M31,IF('Benefits Master'!L31="End of Month",EOMONTH(TODAY(),0),IF('Benefits Master'!L31="End of Quarter",EOMONTH(DATE(YEAR(TODAY()),ROUNDUP(MONTH(TODAY())/3,0)*3,1),0),IF('Benefits Master'!L31="June 30",DATE(YEAR(TODAY()),6,30),IF('Benefits Master'!L31="Dec 31",DATE(YEAR(TODAY()),12,31),IF('Benefits Master'!L31="Card Anniversary","Enter open date",IF('Benefits Master'!L31="Specific Date","Set specific date",DATE(YEAR(TODAY()),12,31)))))))))</x:f>
        <x:v>Enter open date</x:v>
      </x:c>
      <x:c r="I31" t="n">
        <x:f>IF(A31="","",'Benefits Master'!H31)</x:f>
        <x:v>50</x:v>
      </x:c>
      <x:c r="J31" t="n">
        <x:f>IF(A31="","",SUMIFS('Benefit Usage Log'!$H:$H,'Benefit Usage Log'!$E:$E,A31,'Benefit Usage Log'!$G:$G,G31))</x:f>
        <x:v>0</x:v>
      </x:c>
      <x:c r="K31" t="n">
        <x:f>IF(A31="","",MAX(0,I31-J31))</x:f>
        <x:v>50</x:v>
      </x:c>
      <x:c r="L31" t="n">
        <x:f>IF(A31="","",IF(I31=0,0,MIN(1,J31/I31)))</x:f>
        <x:v>0</x:v>
      </x:c>
      <x:c r="M31" t="str">
        <x:f>IF(A31="","",IF(ISNUMBER(H31)=FALSE,"Review Terms",IF(J31&gt;=I31,"Used",IF(AND(J31&gt;0,J31&lt;I31,H31&lt;TODAY()),"Missed",IF(AND(J31=0,H31&lt;TODAY()),"Missed",IF(AND(I31-J31&gt;0,H31-TODAY()&lt;='Benefits Master'!N31),"Expiring Soon",IF(J31&gt;0,"Partially Used","Not Used")))))))</x:f>
        <x:v>Review Terms</x:v>
      </x:c>
      <x:c r="N31" t="str">
        <x:f>IF(A31="","",IF(ISNUMBER(H31),H31-TODAY(),""))</x:f>
      </x:c>
      <x:c r="O31" t="str">
        <x:f>IF(A31="","",'Benefits Master'!P31)</x:f>
        <x:v>Medium</x:v>
      </x:c>
      <x:c r="P31" t="str">
        <x:f>IF(A31="","",'Benefits Master'!Q31)</x:f>
        <x:v>Yes</x:v>
      </x:c>
      <x:c r="Q31" t="str">
        <x:f>IF(A31="","",'Benefits Master'!S31)</x:f>
        <x:v>Up to $50 each account anniversary year for hotel stays through Chase Travel.</x:v>
      </x:c>
    </x:row>
    <x:row r="32">
      <x:c r="A32" t="str">
        <x:f>IF('Benefits Master'!A32="","",'Benefits Master'!A32)</x:f>
        <x:v>chase_sapphire_preferred_p1_dashpass</x:v>
      </x:c>
      <x:c r="B32" t="str">
        <x:f>IF(A32="","",'Benefits Master'!B32)</x:f>
        <x:v>Person 1</x:v>
      </x:c>
      <x:c r="C32" t="str">
        <x:f>IF(A32="","",'Benefits Master'!D32)</x:f>
        <x:v>Chase Sapphire Preferred</x:v>
      </x:c>
      <x:c r="D32" t="str">
        <x:f>IF(A32="","",'Benefits Master'!E32)</x:f>
        <x:v>DashPass Membership</x:v>
      </x:c>
      <x:c r="E32" t="str">
        <x:f>IF(A32="","",'Benefits Master'!J32)</x:f>
        <x:v>Annual</x:v>
      </x:c>
      <x:c r="F32" t="str">
        <x:f>IF(A32="","",'Benefits Master'!K32)</x:f>
        <x:v>Calendar Year</x:v>
      </x:c>
      <x:c r="G32" t="n">
        <x:f>IF(A32="","",IF(F32="Jan-Jun",YEAR(TODAY())&amp;"-H1",IF(F32="Jul-Dec",YEAR(TODAY())&amp;"-H2",IF(E32="Monthly",TEXT(TODAY(),"yyyy-mm"),IF(E32="Quarterly",YEAR(TODAY())&amp;"-Q"&amp;ROUNDUP(MONTH(TODAY())/3,0),IF(E32="Semiannual",IF(MONTH(TODAY())&lt;=6,YEAR(TODAY())&amp;"-H1",YEAR(TODAY())&amp;"-H2"),IF(E32="Annual",YEAR(TODAY()),IF(E32="One-time","One-time","Custom"))))))))</x:f>
        <x:v>2026</x:v>
      </x:c>
      <x:c r="H32" t="n">
        <x:f>IF(A32="","",IF('Benefits Master'!M32&lt;&gt;"",'Benefits Master'!M32,IF('Benefits Master'!L32="End of Month",EOMONTH(TODAY(),0),IF('Benefits Master'!L32="End of Quarter",EOMONTH(DATE(YEAR(TODAY()),ROUNDUP(MONTH(TODAY())/3,0)*3,1),0),IF('Benefits Master'!L32="June 30",DATE(YEAR(TODAY()),6,30),IF('Benefits Master'!L32="Dec 31",DATE(YEAR(TODAY()),12,31),IF('Benefits Master'!L32="Card Anniversary","Enter open date",IF('Benefits Master'!L32="Specific Date","Set specific date",DATE(YEAR(TODAY()),12,31)))))))))</x:f>
        <x:v>46752</x:v>
      </x:c>
      <x:c r="I32" t="n">
        <x:f>IF(A32="","",'Benefits Master'!H32)</x:f>
        <x:v>120</x:v>
      </x:c>
      <x:c r="J32" t="n">
        <x:f>IF(A32="","",SUMIFS('Benefit Usage Log'!$H:$H,'Benefit Usage Log'!$E:$E,A32,'Benefit Usage Log'!$G:$G,G32))</x:f>
        <x:v>0</x:v>
      </x:c>
      <x:c r="K32" t="n">
        <x:f>IF(A32="","",MAX(0,I32-J32))</x:f>
        <x:v>120</x:v>
      </x:c>
      <x:c r="L32" t="n">
        <x:f>IF(A32="","",IF(I32=0,0,MIN(1,J32/I32)))</x:f>
        <x:v>0</x:v>
      </x:c>
      <x:c r="M32" t="str">
        <x:f>IF(A32="","",IF(ISNUMBER(H32)=FALSE,"Review Terms",IF(J32&gt;=I32,"Used",IF(AND(J32&gt;0,J32&lt;I32,H32&lt;TODAY()),"Missed",IF(AND(J32=0,H32&lt;TODAY()),"Missed",IF(AND(I32-J32&gt;0,H32-TODAY()&lt;='Benefits Master'!N32),"Expiring Soon",IF(J32&gt;0,"Partially Used","Not Used")))))))</x:f>
        <x:v>Not Used</x:v>
      </x:c>
      <x:c r="N32" t="n">
        <x:f>IF(A32="","",IF(ISNUMBER(H32),H32-TODAY(),""))</x:f>
        <x:v>608</x:v>
      </x:c>
      <x:c r="O32" t="str">
        <x:f>IF(A32="","",'Benefits Master'!P32)</x:f>
        <x:v>Low</x:v>
      </x:c>
      <x:c r="P32" t="str">
        <x:f>IF(A32="","",'Benefits Master'!Q32)</x:f>
        <x:v>No</x:v>
      </x:c>
      <x:c r="Q32" t="str">
        <x:f>IF(A32="","",'Benefits Master'!S32)</x:f>
        <x:v>Activate/track if valuable; not a cash credit.</x:v>
      </x:c>
    </x:row>
    <x:row r="33">
      <x:c r="A33" t="str">
        <x:f>IF('Benefits Master'!A33="","",'Benefits Master'!A33)</x:f>
        <x:v>chase_sapphire_reserve_p1_travel_annual</x:v>
      </x:c>
      <x:c r="B33" t="str">
        <x:f>IF(A33="","",'Benefits Master'!B33)</x:f>
        <x:v>Person 1</x:v>
      </x:c>
      <x:c r="C33" t="str">
        <x:f>IF(A33="","",'Benefits Master'!D33)</x:f>
        <x:v>Chase Sapphire Reserve</x:v>
      </x:c>
      <x:c r="D33" t="str">
        <x:f>IF(A33="","",'Benefits Master'!E33)</x:f>
        <x:v>Annual Travel Credit</x:v>
      </x:c>
      <x:c r="E33" t="str">
        <x:f>IF(A33="","",'Benefits Master'!J33)</x:f>
        <x:v>Annual</x:v>
      </x:c>
      <x:c r="F33" t="str">
        <x:f>IF(A33="","",'Benefits Master'!K33)</x:f>
        <x:v>Cardmember Year</x:v>
      </x:c>
      <x:c r="G33" t="n">
        <x:f>IF(A33="","",IF(F33="Jan-Jun",YEAR(TODAY())&amp;"-H1",IF(F33="Jul-Dec",YEAR(TODAY())&amp;"-H2",IF(E33="Monthly",TEXT(TODAY(),"yyyy-mm"),IF(E33="Quarterly",YEAR(TODAY())&amp;"-Q"&amp;ROUNDUP(MONTH(TODAY())/3,0),IF(E33="Semiannual",IF(MONTH(TODAY())&lt;=6,YEAR(TODAY())&amp;"-H1",YEAR(TODAY())&amp;"-H2"),IF(E33="Annual",YEAR(TODAY()),IF(E33="One-time","One-time","Custom"))))))))</x:f>
        <x:v>2026</x:v>
      </x:c>
      <x:c r="H33" t="str">
        <x:f>IF(A33="","",IF('Benefits Master'!M33&lt;&gt;"",'Benefits Master'!M33,IF('Benefits Master'!L33="End of Month",EOMONTH(TODAY(),0),IF('Benefits Master'!L33="End of Quarter",EOMONTH(DATE(YEAR(TODAY()),ROUNDUP(MONTH(TODAY())/3,0)*3,1),0),IF('Benefits Master'!L33="June 30",DATE(YEAR(TODAY()),6,30),IF('Benefits Master'!L33="Dec 31",DATE(YEAR(TODAY()),12,31),IF('Benefits Master'!L33="Card Anniversary","Enter open date",IF('Benefits Master'!L33="Specific Date","Set specific date",DATE(YEAR(TODAY()),12,31)))))))))</x:f>
        <x:v>Enter open date</x:v>
      </x:c>
      <x:c r="I33" t="n">
        <x:f>IF(A33="","",'Benefits Master'!H33)</x:f>
        <x:v>300</x:v>
      </x:c>
      <x:c r="J33" t="n">
        <x:f>IF(A33="","",SUMIFS('Benefit Usage Log'!$H:$H,'Benefit Usage Log'!$E:$E,A33,'Benefit Usage Log'!$G:$G,G33))</x:f>
        <x:v>0</x:v>
      </x:c>
      <x:c r="K33" t="n">
        <x:f>IF(A33="","",MAX(0,I33-J33))</x:f>
        <x:v>300</x:v>
      </x:c>
      <x:c r="L33" t="n">
        <x:f>IF(A33="","",IF(I33=0,0,MIN(1,J33/I33)))</x:f>
        <x:v>0</x:v>
      </x:c>
      <x:c r="M33" t="str">
        <x:f>IF(A33="","",IF(ISNUMBER(H33)=FALSE,"Review Terms",IF(J33&gt;=I33,"Used",IF(AND(J33&gt;0,J33&lt;I33,H33&lt;TODAY()),"Missed",IF(AND(J33=0,H33&lt;TODAY()),"Missed",IF(AND(I33-J33&gt;0,H33-TODAY()&lt;='Benefits Master'!N33),"Expiring Soon",IF(J33&gt;0,"Partially Used","Not Used")))))))</x:f>
        <x:v>Review Terms</x:v>
      </x:c>
      <x:c r="N33" t="str">
        <x:f>IF(A33="","",IF(ISNUMBER(H33),H33-TODAY(),""))</x:f>
      </x:c>
      <x:c r="O33" t="str">
        <x:f>IF(A33="","",'Benefits Master'!P33)</x:f>
        <x:v>High</x:v>
      </x:c>
      <x:c r="P33" t="str">
        <x:f>IF(A33="","",'Benefits Master'!Q33)</x:f>
        <x:v>Yes</x:v>
      </x:c>
      <x:c r="Q33" t="str">
        <x:f>IF(A33="","",'Benefits Master'!S33)</x:f>
        <x:v>Up to $300 annual travel credit; anniversary-year based. Add open date/renewal to refine.</x:v>
      </x:c>
    </x:row>
    <x:row r="34">
      <x:c r="A34" t="str">
        <x:f>IF('Benefits Master'!A34="","",'Benefits Master'!A34)</x:f>
        <x:v>chase_sapphire_reserve_p1_dining_h1</x:v>
      </x:c>
      <x:c r="B34" t="str">
        <x:f>IF(A34="","",'Benefits Master'!B34)</x:f>
        <x:v>Person 1</x:v>
      </x:c>
      <x:c r="C34" t="str">
        <x:f>IF(A34="","",'Benefits Master'!D34)</x:f>
        <x:v>Chase Sapphire Reserve</x:v>
      </x:c>
      <x:c r="D34" t="str">
        <x:f>IF(A34="","",'Benefits Master'!E34)</x:f>
        <x:v>Sapphire Reserve Dining Credit H1</x:v>
      </x:c>
      <x:c r="E34" t="str">
        <x:f>IF(A34="","",'Benefits Master'!J34)</x:f>
        <x:v>Semiannual</x:v>
      </x:c>
      <x:c r="F34" t="str">
        <x:f>IF(A34="","",'Benefits Master'!K34)</x:f>
        <x:v>Jan-Jun</x:v>
      </x:c>
      <x:c r="G34" t="str">
        <x:f>IF(A34="","",IF(F34="Jan-Jun",YEAR(TODAY())&amp;"-H1",IF(F34="Jul-Dec",YEAR(TODAY())&amp;"-H2",IF(E34="Monthly",TEXT(TODAY(),"yyyy-mm"),IF(E34="Quarterly",YEAR(TODAY())&amp;"-Q"&amp;ROUNDUP(MONTH(TODAY())/3,0),IF(E34="Semiannual",IF(MONTH(TODAY())&lt;=6,YEAR(TODAY())&amp;"-H1",YEAR(TODAY())&amp;"-H2"),IF(E34="Annual",YEAR(TODAY()),IF(E34="One-time","One-time","Custom"))))))))</x:f>
        <x:v>2026-H1</x:v>
      </x:c>
      <x:c r="H34" t="n">
        <x:f>IF(A34="","",IF('Benefits Master'!M34&lt;&gt;"",'Benefits Master'!M34,IF('Benefits Master'!L34="End of Month",EOMONTH(TODAY(),0),IF('Benefits Master'!L34="End of Quarter",EOMONTH(DATE(YEAR(TODAY()),ROUNDUP(MONTH(TODAY())/3,0)*3,1),0),IF('Benefits Master'!L34="June 30",DATE(YEAR(TODAY()),6,30),IF('Benefits Master'!L34="Dec 31",DATE(YEAR(TODAY()),12,31),IF('Benefits Master'!L34="Card Anniversary","Enter open date",IF('Benefits Master'!L34="Specific Date","Set specific date",DATE(YEAR(TODAY()),12,31)))))))))</x:f>
        <x:v>46203</x:v>
      </x:c>
      <x:c r="I34" t="n">
        <x:f>IF(A34="","",'Benefits Master'!H34)</x:f>
        <x:v>150</x:v>
      </x:c>
      <x:c r="J34" t="n">
        <x:f>IF(A34="","",SUMIFS('Benefit Usage Log'!$H:$H,'Benefit Usage Log'!$E:$E,A34,'Benefit Usage Log'!$G:$G,G34))</x:f>
        <x:v>0</x:v>
      </x:c>
      <x:c r="K34" t="n">
        <x:f>IF(A34="","",MAX(0,I34-J34))</x:f>
        <x:v>150</x:v>
      </x:c>
      <x:c r="L34" t="n">
        <x:f>IF(A34="","",IF(I34=0,0,MIN(1,J34/I34)))</x:f>
        <x:v>0</x:v>
      </x:c>
      <x:c r="M34" t="str">
        <x:f>IF(A34="","",IF(ISNUMBER(H34)=FALSE,"Review Terms",IF(J34&gt;=I34,"Used",IF(AND(J34&gt;0,J34&lt;I34,H34&lt;TODAY()),"Missed",IF(AND(J34=0,H34&lt;TODAY()),"Missed",IF(AND(I34-J34&gt;0,H34-TODAY()&lt;='Benefits Master'!N34),"Expiring Soon",IF(J34&gt;0,"Partially Used","Not Used")))))))</x:f>
        <x:v>Not Used</x:v>
      </x:c>
      <x:c r="N34" t="n">
        <x:f>IF(A34="","",IF(ISNUMBER(H34),H34-TODAY(),""))</x:f>
        <x:v>59</x:v>
      </x:c>
      <x:c r="O34" t="str">
        <x:f>IF(A34="","",'Benefits Master'!P34)</x:f>
        <x:v>High</x:v>
      </x:c>
      <x:c r="P34" t="str">
        <x:f>IF(A34="","",'Benefits Master'!Q34)</x:f>
        <x:v>Yes</x:v>
      </x:c>
      <x:c r="Q34" t="str">
        <x:f>IF(A34="","",'Benefits Master'!S34)</x:f>
        <x:v>Up to $150 Jan-Jun at Sapphire Reserve Exclusive Tables restaurants.</x:v>
      </x:c>
    </x:row>
    <x:row r="35">
      <x:c r="A35" t="str">
        <x:f>IF('Benefits Master'!A35="","",'Benefits Master'!A35)</x:f>
        <x:v>chase_sapphire_reserve_p1_dining_h2</x:v>
      </x:c>
      <x:c r="B35" t="str">
        <x:f>IF(A35="","",'Benefits Master'!B35)</x:f>
        <x:v>Person 1</x:v>
      </x:c>
      <x:c r="C35" t="str">
        <x:f>IF(A35="","",'Benefits Master'!D35)</x:f>
        <x:v>Chase Sapphire Reserve</x:v>
      </x:c>
      <x:c r="D35" t="str">
        <x:f>IF(A35="","",'Benefits Master'!E35)</x:f>
        <x:v>Sapphire Reserve Dining Credit H2</x:v>
      </x:c>
      <x:c r="E35" t="str">
        <x:f>IF(A35="","",'Benefits Master'!J35)</x:f>
        <x:v>Semiannual</x:v>
      </x:c>
      <x:c r="F35" t="str">
        <x:f>IF(A35="","",'Benefits Master'!K35)</x:f>
        <x:v>Jul-Dec</x:v>
      </x:c>
      <x:c r="G35" t="str">
        <x:f>IF(A35="","",IF(F35="Jan-Jun",YEAR(TODAY())&amp;"-H1",IF(F35="Jul-Dec",YEAR(TODAY())&amp;"-H2",IF(E35="Monthly",TEXT(TODAY(),"yyyy-mm"),IF(E35="Quarterly",YEAR(TODAY())&amp;"-Q"&amp;ROUNDUP(MONTH(TODAY())/3,0),IF(E35="Semiannual",IF(MONTH(TODAY())&lt;=6,YEAR(TODAY())&amp;"-H1",YEAR(TODAY())&amp;"-H2"),IF(E35="Annual",YEAR(TODAY()),IF(E35="One-time","One-time","Custom"))))))))</x:f>
        <x:v>2026-H2</x:v>
      </x:c>
      <x:c r="H35" t="n">
        <x:f>IF(A35="","",IF('Benefits Master'!M35&lt;&gt;"",'Benefits Master'!M35,IF('Benefits Master'!L35="End of Month",EOMONTH(TODAY(),0),IF('Benefits Master'!L35="End of Quarter",EOMONTH(DATE(YEAR(TODAY()),ROUNDUP(MONTH(TODAY())/3,0)*3,1),0),IF('Benefits Master'!L35="June 30",DATE(YEAR(TODAY()),6,30),IF('Benefits Master'!L35="Dec 31",DATE(YEAR(TODAY()),12,31),IF('Benefits Master'!L35="Card Anniversary","Enter open date",IF('Benefits Master'!L35="Specific Date","Set specific date",DATE(YEAR(TODAY()),12,31)))))))))</x:f>
        <x:v>46387</x:v>
      </x:c>
      <x:c r="I35" t="n">
        <x:f>IF(A35="","",'Benefits Master'!H35)</x:f>
        <x:v>150</x:v>
      </x:c>
      <x:c r="J35" t="n">
        <x:f>IF(A35="","",SUMIFS('Benefit Usage Log'!$H:$H,'Benefit Usage Log'!$E:$E,A35,'Benefit Usage Log'!$G:$G,G35))</x:f>
        <x:v>0</x:v>
      </x:c>
      <x:c r="K35" t="n">
        <x:f>IF(A35="","",MAX(0,I35-J35))</x:f>
        <x:v>150</x:v>
      </x:c>
      <x:c r="L35" t="n">
        <x:f>IF(A35="","",IF(I35=0,0,MIN(1,J35/I35)))</x:f>
        <x:v>0</x:v>
      </x:c>
      <x:c r="M35" t="str">
        <x:f>IF(A35="","",IF(ISNUMBER(H35)=FALSE,"Review Terms",IF(J35&gt;=I35,"Used",IF(AND(J35&gt;0,J35&lt;I35,H35&lt;TODAY()),"Missed",IF(AND(J35=0,H35&lt;TODAY()),"Missed",IF(AND(I35-J35&gt;0,H35-TODAY()&lt;='Benefits Master'!N35),"Expiring Soon",IF(J35&gt;0,"Partially Used","Not Used")))))))</x:f>
        <x:v>Not Used</x:v>
      </x:c>
      <x:c r="N35" t="n">
        <x:f>IF(A35="","",IF(ISNUMBER(H35),H35-TODAY(),""))</x:f>
        <x:v>243</x:v>
      </x:c>
      <x:c r="O35" t="str">
        <x:f>IF(A35="","",'Benefits Master'!P35)</x:f>
        <x:v>High</x:v>
      </x:c>
      <x:c r="P35" t="str">
        <x:f>IF(A35="","",'Benefits Master'!Q35)</x:f>
        <x:v>Yes</x:v>
      </x:c>
      <x:c r="Q35" t="str">
        <x:f>IF(A35="","",'Benefits Master'!S35)</x:f>
        <x:v>Up to $150 Jul-Dec at Sapphire Reserve Exclusive Tables restaurants.</x:v>
      </x:c>
    </x:row>
    <x:row r="36">
      <x:c r="A36" t="str">
        <x:f>IF('Benefits Master'!A36="","",'Benefits Master'!A36)</x:f>
        <x:v>chase_sapphire_reserve_p1_stubhub_h1</x:v>
      </x:c>
      <x:c r="B36" t="str">
        <x:f>IF(A36="","",'Benefits Master'!B36)</x:f>
        <x:v>Person 1</x:v>
      </x:c>
      <x:c r="C36" t="str">
        <x:f>IF(A36="","",'Benefits Master'!D36)</x:f>
        <x:v>Chase Sapphire Reserve</x:v>
      </x:c>
      <x:c r="D36" t="str">
        <x:f>IF(A36="","",'Benefits Master'!E36)</x:f>
        <x:v>StubHub / viagogo Credit H1</x:v>
      </x:c>
      <x:c r="E36" t="str">
        <x:f>IF(A36="","",'Benefits Master'!J36)</x:f>
        <x:v>Semiannual</x:v>
      </x:c>
      <x:c r="F36" t="str">
        <x:f>IF(A36="","",'Benefits Master'!K36)</x:f>
        <x:v>Jan-Jun</x:v>
      </x:c>
      <x:c r="G36" t="str">
        <x:f>IF(A36="","",IF(F36="Jan-Jun",YEAR(TODAY())&amp;"-H1",IF(F36="Jul-Dec",YEAR(TODAY())&amp;"-H2",IF(E36="Monthly",TEXT(TODAY(),"yyyy-mm"),IF(E36="Quarterly",YEAR(TODAY())&amp;"-Q"&amp;ROUNDUP(MONTH(TODAY())/3,0),IF(E36="Semiannual",IF(MONTH(TODAY())&lt;=6,YEAR(TODAY())&amp;"-H1",YEAR(TODAY())&amp;"-H2"),IF(E36="Annual",YEAR(TODAY()),IF(E36="One-time","One-time","Custom"))))))))</x:f>
        <x:v>2026-H1</x:v>
      </x:c>
      <x:c r="H36" t="n">
        <x:f>IF(A36="","",IF('Benefits Master'!M36&lt;&gt;"",'Benefits Master'!M36,IF('Benefits Master'!L36="End of Month",EOMONTH(TODAY(),0),IF('Benefits Master'!L36="End of Quarter",EOMONTH(DATE(YEAR(TODAY()),ROUNDUP(MONTH(TODAY())/3,0)*3,1),0),IF('Benefits Master'!L36="June 30",DATE(YEAR(TODAY()),6,30),IF('Benefits Master'!L36="Dec 31",DATE(YEAR(TODAY()),12,31),IF('Benefits Master'!L36="Card Anniversary","Enter open date",IF('Benefits Master'!L36="Specific Date","Set specific date",DATE(YEAR(TODAY()),12,31)))))))))</x:f>
        <x:v>46203</x:v>
      </x:c>
      <x:c r="I36" t="n">
        <x:f>IF(A36="","",'Benefits Master'!H36)</x:f>
        <x:v>150</x:v>
      </x:c>
      <x:c r="J36" t="n">
        <x:f>IF(A36="","",SUMIFS('Benefit Usage Log'!$H:$H,'Benefit Usage Log'!$E:$E,A36,'Benefit Usage Log'!$G:$G,G36))</x:f>
        <x:v>0</x:v>
      </x:c>
      <x:c r="K36" t="n">
        <x:f>IF(A36="","",MAX(0,I36-J36))</x:f>
        <x:v>150</x:v>
      </x:c>
      <x:c r="L36" t="n">
        <x:f>IF(A36="","",IF(I36=0,0,MIN(1,J36/I36)))</x:f>
        <x:v>0</x:v>
      </x:c>
      <x:c r="M36" t="str">
        <x:f>IF(A36="","",IF(ISNUMBER(H36)=FALSE,"Review Terms",IF(J36&gt;=I36,"Used",IF(AND(J36&gt;0,J36&lt;I36,H36&lt;TODAY()),"Missed",IF(AND(J36=0,H36&lt;TODAY()),"Missed",IF(AND(I36-J36&gt;0,H36-TODAY()&lt;='Benefits Master'!N36),"Expiring Soon",IF(J36&gt;0,"Partially Used","Not Used")))))))</x:f>
        <x:v>Not Used</x:v>
      </x:c>
      <x:c r="N36" t="n">
        <x:f>IF(A36="","",IF(ISNUMBER(H36),H36-TODAY(),""))</x:f>
        <x:v>59</x:v>
      </x:c>
      <x:c r="O36" t="str">
        <x:f>IF(A36="","",'Benefits Master'!P36)</x:f>
        <x:v>Medium</x:v>
      </x:c>
      <x:c r="P36" t="str">
        <x:f>IF(A36="","",'Benefits Master'!Q36)</x:f>
        <x:v>Yes</x:v>
      </x:c>
      <x:c r="Q36" t="str">
        <x:f>IF(A36="","",'Benefits Master'!S36)</x:f>
        <x:v>Up to $150 Jan-Jun; activation required.</x:v>
      </x:c>
    </x:row>
    <x:row r="37">
      <x:c r="A37" t="str">
        <x:f>IF('Benefits Master'!A37="","",'Benefits Master'!A37)</x:f>
        <x:v>chase_sapphire_reserve_p1_stubhub_h2</x:v>
      </x:c>
      <x:c r="B37" t="str">
        <x:f>IF(A37="","",'Benefits Master'!B37)</x:f>
        <x:v>Person 1</x:v>
      </x:c>
      <x:c r="C37" t="str">
        <x:f>IF(A37="","",'Benefits Master'!D37)</x:f>
        <x:v>Chase Sapphire Reserve</x:v>
      </x:c>
      <x:c r="D37" t="str">
        <x:f>IF(A37="","",'Benefits Master'!E37)</x:f>
        <x:v>StubHub / viagogo Credit H2</x:v>
      </x:c>
      <x:c r="E37" t="str">
        <x:f>IF(A37="","",'Benefits Master'!J37)</x:f>
        <x:v>Semiannual</x:v>
      </x:c>
      <x:c r="F37" t="str">
        <x:f>IF(A37="","",'Benefits Master'!K37)</x:f>
        <x:v>Jul-Dec</x:v>
      </x:c>
      <x:c r="G37" t="str">
        <x:f>IF(A37="","",IF(F37="Jan-Jun",YEAR(TODAY())&amp;"-H1",IF(F37="Jul-Dec",YEAR(TODAY())&amp;"-H2",IF(E37="Monthly",TEXT(TODAY(),"yyyy-mm"),IF(E37="Quarterly",YEAR(TODAY())&amp;"-Q"&amp;ROUNDUP(MONTH(TODAY())/3,0),IF(E37="Semiannual",IF(MONTH(TODAY())&lt;=6,YEAR(TODAY())&amp;"-H1",YEAR(TODAY())&amp;"-H2"),IF(E37="Annual",YEAR(TODAY()),IF(E37="One-time","One-time","Custom"))))))))</x:f>
        <x:v>2026-H2</x:v>
      </x:c>
      <x:c r="H37" t="n">
        <x:f>IF(A37="","",IF('Benefits Master'!M37&lt;&gt;"",'Benefits Master'!M37,IF('Benefits Master'!L37="End of Month",EOMONTH(TODAY(),0),IF('Benefits Master'!L37="End of Quarter",EOMONTH(DATE(YEAR(TODAY()),ROUNDUP(MONTH(TODAY())/3,0)*3,1),0),IF('Benefits Master'!L37="June 30",DATE(YEAR(TODAY()),6,30),IF('Benefits Master'!L37="Dec 31",DATE(YEAR(TODAY()),12,31),IF('Benefits Master'!L37="Card Anniversary","Enter open date",IF('Benefits Master'!L37="Specific Date","Set specific date",DATE(YEAR(TODAY()),12,31)))))))))</x:f>
        <x:v>46387</x:v>
      </x:c>
      <x:c r="I37" t="n">
        <x:f>IF(A37="","",'Benefits Master'!H37)</x:f>
        <x:v>150</x:v>
      </x:c>
      <x:c r="J37" t="n">
        <x:f>IF(A37="","",SUMIFS('Benefit Usage Log'!$H:$H,'Benefit Usage Log'!$E:$E,A37,'Benefit Usage Log'!$G:$G,G37))</x:f>
        <x:v>0</x:v>
      </x:c>
      <x:c r="K37" t="n">
        <x:f>IF(A37="","",MAX(0,I37-J37))</x:f>
        <x:v>150</x:v>
      </x:c>
      <x:c r="L37" t="n">
        <x:f>IF(A37="","",IF(I37=0,0,MIN(1,J37/I37)))</x:f>
        <x:v>0</x:v>
      </x:c>
      <x:c r="M37" t="str">
        <x:f>IF(A37="","",IF(ISNUMBER(H37)=FALSE,"Review Terms",IF(J37&gt;=I37,"Used",IF(AND(J37&gt;0,J37&lt;I37,H37&lt;TODAY()),"Missed",IF(AND(J37=0,H37&lt;TODAY()),"Missed",IF(AND(I37-J37&gt;0,H37-TODAY()&lt;='Benefits Master'!N37),"Expiring Soon",IF(J37&gt;0,"Partially Used","Not Used")))))))</x:f>
        <x:v>Not Used</x:v>
      </x:c>
      <x:c r="N37" t="n">
        <x:f>IF(A37="","",IF(ISNUMBER(H37),H37-TODAY(),""))</x:f>
        <x:v>243</x:v>
      </x:c>
      <x:c r="O37" t="str">
        <x:f>IF(A37="","",'Benefits Master'!P37)</x:f>
        <x:v>Medium</x:v>
      </x:c>
      <x:c r="P37" t="str">
        <x:f>IF(A37="","",'Benefits Master'!Q37)</x:f>
        <x:v>Yes</x:v>
      </x:c>
      <x:c r="Q37" t="str">
        <x:f>IF(A37="","",'Benefits Master'!S37)</x:f>
        <x:v>Up to $150 Jul-Dec; activation required.</x:v>
      </x:c>
    </x:row>
    <x:row r="38">
      <x:c r="A38" t="str">
        <x:f>IF('Benefits Master'!A38="","",'Benefits Master'!A38)</x:f>
        <x:v>chase_sapphire_reserve_p1_lyft_monthly</x:v>
      </x:c>
      <x:c r="B38" t="str">
        <x:f>IF(A38="","",'Benefits Master'!B38)</x:f>
        <x:v>Person 1</x:v>
      </x:c>
      <x:c r="C38" t="str">
        <x:f>IF(A38="","",'Benefits Master'!D38)</x:f>
        <x:v>Chase Sapphire Reserve</x:v>
      </x:c>
      <x:c r="D38" t="str">
        <x:f>IF(A38="","",'Benefits Master'!E38)</x:f>
        <x:v>Lyft Monthly Credit</x:v>
      </x:c>
      <x:c r="E38" t="str">
        <x:f>IF(A38="","",'Benefits Master'!J38)</x:f>
        <x:v>Monthly</x:v>
      </x:c>
      <x:c r="F38" t="str">
        <x:f>IF(A38="","",'Benefits Master'!K38)</x:f>
        <x:v>Calendar Month</x:v>
      </x:c>
      <x:c r="G38" t="str">
        <x:f>IF(A38="","",IF(F38="Jan-Jun",YEAR(TODAY())&amp;"-H1",IF(F38="Jul-Dec",YEAR(TODAY())&amp;"-H2",IF(E38="Monthly",TEXT(TODAY(),"yyyy-mm"),IF(E38="Quarterly",YEAR(TODAY())&amp;"-Q"&amp;ROUNDUP(MONTH(TODAY())/3,0),IF(E38="Semiannual",IF(MONTH(TODAY())&lt;=6,YEAR(TODAY())&amp;"-H1",YEAR(TODAY())&amp;"-H2"),IF(E38="Annual",YEAR(TODAY()),IF(E38="One-time","One-time","Custom"))))))))</x:f>
        <x:v>2026-05</x:v>
      </x:c>
      <x:c r="H38" t="n">
        <x:f>IF(A38="","",IF('Benefits Master'!M38&lt;&gt;"",'Benefits Master'!M38,IF('Benefits Master'!L38="End of Month",EOMONTH(TODAY(),0),IF('Benefits Master'!L38="End of Quarter",EOMONTH(DATE(YEAR(TODAY()),ROUNDUP(MONTH(TODAY())/3,0)*3,1),0),IF('Benefits Master'!L38="June 30",DATE(YEAR(TODAY()),6,30),IF('Benefits Master'!L38="Dec 31",DATE(YEAR(TODAY()),12,31),IF('Benefits Master'!L38="Card Anniversary","Enter open date",IF('Benefits Master'!L38="Specific Date","Set specific date",DATE(YEAR(TODAY()),12,31)))))))))</x:f>
        <x:v>46173</x:v>
      </x:c>
      <x:c r="I38" t="n">
        <x:f>IF(A38="","",'Benefits Master'!H38)</x:f>
        <x:v>10</x:v>
      </x:c>
      <x:c r="J38" t="n">
        <x:f>IF(A38="","",SUMIFS('Benefit Usage Log'!$H:$H,'Benefit Usage Log'!$E:$E,A38,'Benefit Usage Log'!$G:$G,G38))</x:f>
        <x:v>0</x:v>
      </x:c>
      <x:c r="K38" t="n">
        <x:f>IF(A38="","",MAX(0,I38-J38))</x:f>
        <x:v>10</x:v>
      </x:c>
      <x:c r="L38" t="n">
        <x:f>IF(A38="","",IF(I38=0,0,MIN(1,J38/I38)))</x:f>
        <x:v>0</x:v>
      </x:c>
      <x:c r="M38" t="str">
        <x:f>IF(A38="","",IF(ISNUMBER(H38)=FALSE,"Review Terms",IF(J38&gt;=I38,"Used",IF(AND(J38&gt;0,J38&lt;I38,H38&lt;TODAY()),"Missed",IF(AND(J38=0,H38&lt;TODAY()),"Missed",IF(AND(I38-J38&gt;0,H38-TODAY()&lt;='Benefits Master'!N38),"Expiring Soon",IF(J38&gt;0,"Partially Used","Not Used")))))))</x:f>
        <x:v>Not Used</x:v>
      </x:c>
      <x:c r="N38" t="n">
        <x:f>IF(A38="","",IF(ISNUMBER(H38),H38-TODAY(),""))</x:f>
        <x:v>29</x:v>
      </x:c>
      <x:c r="O38" t="str">
        <x:f>IF(A38="","",'Benefits Master'!P38)</x:f>
        <x:v>Medium</x:v>
      </x:c>
      <x:c r="P38" t="str">
        <x:f>IF(A38="","",'Benefits Master'!Q38)</x:f>
        <x:v>Yes</x:v>
      </x:c>
      <x:c r="Q38" t="str">
        <x:f>IF(A38="","",'Benefits Master'!S38)</x:f>
        <x:v>Up to $10/month Lyft credit through 9/30/2027.</x:v>
      </x:c>
    </x:row>
    <x:row r="39">
      <x:c r="A39" t="str">
        <x:f>IF('Benefits Master'!A39="","",'Benefits Master'!A39)</x:f>
        <x:v>chase_sapphire_reserve_p1_peloton_monthly</x:v>
      </x:c>
      <x:c r="B39" t="str">
        <x:f>IF(A39="","",'Benefits Master'!B39)</x:f>
        <x:v>Person 1</x:v>
      </x:c>
      <x:c r="C39" t="str">
        <x:f>IF(A39="","",'Benefits Master'!D39)</x:f>
        <x:v>Chase Sapphire Reserve</x:v>
      </x:c>
      <x:c r="D39" t="str">
        <x:f>IF(A39="","",'Benefits Master'!E39)</x:f>
        <x:v>Peloton Monthly Credit</x:v>
      </x:c>
      <x:c r="E39" t="str">
        <x:f>IF(A39="","",'Benefits Master'!J39)</x:f>
        <x:v>Monthly</x:v>
      </x:c>
      <x:c r="F39" t="str">
        <x:f>IF(A39="","",'Benefits Master'!K39)</x:f>
        <x:v>Calendar Month</x:v>
      </x:c>
      <x:c r="G39" t="str">
        <x:f>IF(A39="","",IF(F39="Jan-Jun",YEAR(TODAY())&amp;"-H1",IF(F39="Jul-Dec",YEAR(TODAY())&amp;"-H2",IF(E39="Monthly",TEXT(TODAY(),"yyyy-mm"),IF(E39="Quarterly",YEAR(TODAY())&amp;"-Q"&amp;ROUNDUP(MONTH(TODAY())/3,0),IF(E39="Semiannual",IF(MONTH(TODAY())&lt;=6,YEAR(TODAY())&amp;"-H1",YEAR(TODAY())&amp;"-H2"),IF(E39="Annual",YEAR(TODAY()),IF(E39="One-time","One-time","Custom"))))))))</x:f>
        <x:v>2026-05</x:v>
      </x:c>
      <x:c r="H39" t="n">
        <x:f>IF(A39="","",IF('Benefits Master'!M39&lt;&gt;"",'Benefits Master'!M39,IF('Benefits Master'!L39="End of Month",EOMONTH(TODAY(),0),IF('Benefits Master'!L39="End of Quarter",EOMONTH(DATE(YEAR(TODAY()),ROUNDUP(MONTH(TODAY())/3,0)*3,1),0),IF('Benefits Master'!L39="June 30",DATE(YEAR(TODAY()),6,30),IF('Benefits Master'!L39="Dec 31",DATE(YEAR(TODAY()),12,31),IF('Benefits Master'!L39="Card Anniversary","Enter open date",IF('Benefits Master'!L39="Specific Date","Set specific date",DATE(YEAR(TODAY()),12,31)))))))))</x:f>
        <x:v>46173</x:v>
      </x:c>
      <x:c r="I39" t="n">
        <x:f>IF(A39="","",'Benefits Master'!H39)</x:f>
        <x:v>10</x:v>
      </x:c>
      <x:c r="J39" t="n">
        <x:f>IF(A39="","",SUMIFS('Benefit Usage Log'!$H:$H,'Benefit Usage Log'!$E:$E,A39,'Benefit Usage Log'!$G:$G,G39))</x:f>
        <x:v>0</x:v>
      </x:c>
      <x:c r="K39" t="n">
        <x:f>IF(A39="","",MAX(0,I39-J39))</x:f>
        <x:v>10</x:v>
      </x:c>
      <x:c r="L39" t="n">
        <x:f>IF(A39="","",IF(I39=0,0,MIN(1,J39/I39)))</x:f>
        <x:v>0</x:v>
      </x:c>
      <x:c r="M39" t="str">
        <x:f>IF(A39="","",IF(ISNUMBER(H39)=FALSE,"Review Terms",IF(J39&gt;=I39,"Used",IF(AND(J39&gt;0,J39&lt;I39,H39&lt;TODAY()),"Missed",IF(AND(J39=0,H39&lt;TODAY()),"Missed",IF(AND(I39-J39&gt;0,H39-TODAY()&lt;='Benefits Master'!N39),"Expiring Soon",IF(J39&gt;0,"Partially Used","Not Used")))))))</x:f>
        <x:v>Not Used</x:v>
      </x:c>
      <x:c r="N39" t="n">
        <x:f>IF(A39="","",IF(ISNUMBER(H39),H39-TODAY(),""))</x:f>
        <x:v>29</x:v>
      </x:c>
      <x:c r="O39" t="str">
        <x:f>IF(A39="","",'Benefits Master'!P39)</x:f>
        <x:v>Low</x:v>
      </x:c>
      <x:c r="P39" t="str">
        <x:f>IF(A39="","",'Benefits Master'!Q39)</x:f>
        <x:v>No</x:v>
      </x:c>
      <x:c r="Q39" t="str">
        <x:f>IF(A39="","",'Benefits Master'!S39)</x:f>
        <x:v>Up to $10/month Peloton membership credit through 12/31/2027; turn on alert if relevant.</x:v>
      </x:c>
    </x:row>
    <x:row r="40">
      <x:c r="A40" t="str">
        <x:f>IF('Benefits Master'!A40="","",'Benefits Master'!A40)</x:f>
        <x:v>chase_sapphire_reserve_p1_doordash_monthly</x:v>
      </x:c>
      <x:c r="B40" t="str">
        <x:f>IF(A40="","",'Benefits Master'!B40)</x:f>
        <x:v>Person 1</x:v>
      </x:c>
      <x:c r="C40" t="str">
        <x:f>IF(A40="","",'Benefits Master'!D40)</x:f>
        <x:v>Chase Sapphire Reserve</x:v>
      </x:c>
      <x:c r="D40" t="str">
        <x:f>IF(A40="","",'Benefits Master'!E40)</x:f>
        <x:v>DoorDash Promos</x:v>
      </x:c>
      <x:c r="E40" t="str">
        <x:f>IF(A40="","",'Benefits Master'!J40)</x:f>
        <x:v>Monthly</x:v>
      </x:c>
      <x:c r="F40" t="str">
        <x:f>IF(A40="","",'Benefits Master'!K40)</x:f>
        <x:v>Calendar Month</x:v>
      </x:c>
      <x:c r="G40" t="str">
        <x:f>IF(A40="","",IF(F40="Jan-Jun",YEAR(TODAY())&amp;"-H1",IF(F40="Jul-Dec",YEAR(TODAY())&amp;"-H2",IF(E40="Monthly",TEXT(TODAY(),"yyyy-mm"),IF(E40="Quarterly",YEAR(TODAY())&amp;"-Q"&amp;ROUNDUP(MONTH(TODAY())/3,0),IF(E40="Semiannual",IF(MONTH(TODAY())&lt;=6,YEAR(TODAY())&amp;"-H1",YEAR(TODAY())&amp;"-H2"),IF(E40="Annual",YEAR(TODAY()),IF(E40="One-time","One-time","Custom"))))))))</x:f>
        <x:v>2026-05</x:v>
      </x:c>
      <x:c r="H40" t="n">
        <x:f>IF(A40="","",IF('Benefits Master'!M40&lt;&gt;"",'Benefits Master'!M40,IF('Benefits Master'!L40="End of Month",EOMONTH(TODAY(),0),IF('Benefits Master'!L40="End of Quarter",EOMONTH(DATE(YEAR(TODAY()),ROUNDUP(MONTH(TODAY())/3,0)*3,1),0),IF('Benefits Master'!L40="June 30",DATE(YEAR(TODAY()),6,30),IF('Benefits Master'!L40="Dec 31",DATE(YEAR(TODAY()),12,31),IF('Benefits Master'!L40="Card Anniversary","Enter open date",IF('Benefits Master'!L40="Specific Date","Set specific date",DATE(YEAR(TODAY()),12,31)))))))))</x:f>
        <x:v>46173</x:v>
      </x:c>
      <x:c r="I40" t="n">
        <x:f>IF(A40="","",'Benefits Master'!H40)</x:f>
        <x:v>25</x:v>
      </x:c>
      <x:c r="J40" t="n">
        <x:f>IF(A40="","",SUMIFS('Benefit Usage Log'!$H:$H,'Benefit Usage Log'!$E:$E,A40,'Benefit Usage Log'!$G:$G,G40))</x:f>
        <x:v>0</x:v>
      </x:c>
      <x:c r="K40" t="n">
        <x:f>IF(A40="","",MAX(0,I40-J40))</x:f>
        <x:v>25</x:v>
      </x:c>
      <x:c r="L40" t="n">
        <x:f>IF(A40="","",IF(I40=0,0,MIN(1,J40/I40)))</x:f>
        <x:v>0</x:v>
      </x:c>
      <x:c r="M40" t="str">
        <x:f>IF(A40="","",IF(ISNUMBER(H40)=FALSE,"Review Terms",IF(J40&gt;=I40,"Used",IF(AND(J40&gt;0,J40&lt;I40,H40&lt;TODAY()),"Missed",IF(AND(J40=0,H40&lt;TODAY()),"Missed",IF(AND(I40-J40&gt;0,H40-TODAY()&lt;='Benefits Master'!N40),"Expiring Soon",IF(J40&gt;0,"Partially Used","Not Used")))))))</x:f>
        <x:v>Not Used</x:v>
      </x:c>
      <x:c r="N40" t="n">
        <x:f>IF(A40="","",IF(ISNUMBER(H40),H40-TODAY(),""))</x:f>
        <x:v>29</x:v>
      </x:c>
      <x:c r="O40" t="str">
        <x:f>IF(A40="","",'Benefits Master'!P40)</x:f>
        <x:v>High</x:v>
      </x:c>
      <x:c r="P40" t="str">
        <x:f>IF(A40="","",'Benefits Master'!Q40)</x:f>
        <x:v>Yes</x:v>
      </x:c>
      <x:c r="Q40" t="str">
        <x:f>IF(A40="","",'Benefits Master'!S40)</x:f>
        <x:v>Chase advertises up to $300 in DoorDash promos annually; verify monthly split in app.</x:v>
      </x:c>
    </x:row>
    <x:row r="41">
      <x:c r="A41" t="str">
        <x:f>IF('Benefits Master'!A41="","",'Benefits Master'!A41)</x:f>
        <x:v>chase_sapphire_reserve_p1_the_edit_annual</x:v>
      </x:c>
      <x:c r="B41" t="str">
        <x:f>IF(A41="","",'Benefits Master'!B41)</x:f>
        <x:v>Person 1</x:v>
      </x:c>
      <x:c r="C41" t="str">
        <x:f>IF(A41="","",'Benefits Master'!D41)</x:f>
        <x:v>Chase Sapphire Reserve</x:v>
      </x:c>
      <x:c r="D41" t="str">
        <x:f>IF(A41="","",'Benefits Master'!E41)</x:f>
        <x:v>The Edit Hotel Credit</x:v>
      </x:c>
      <x:c r="E41" t="str">
        <x:f>IF(A41="","",'Benefits Master'!J41)</x:f>
        <x:v>Annual</x:v>
      </x:c>
      <x:c r="F41" t="str">
        <x:f>IF(A41="","",'Benefits Master'!K41)</x:f>
        <x:v>Calendar Year</x:v>
      </x:c>
      <x:c r="G41" t="n">
        <x:f>IF(A41="","",IF(F41="Jan-Jun",YEAR(TODAY())&amp;"-H1",IF(F41="Jul-Dec",YEAR(TODAY())&amp;"-H2",IF(E41="Monthly",TEXT(TODAY(),"yyyy-mm"),IF(E41="Quarterly",YEAR(TODAY())&amp;"-Q"&amp;ROUNDUP(MONTH(TODAY())/3,0),IF(E41="Semiannual",IF(MONTH(TODAY())&lt;=6,YEAR(TODAY())&amp;"-H1",YEAR(TODAY())&amp;"-H2"),IF(E41="Annual",YEAR(TODAY()),IF(E41="One-time","One-time","Custom"))))))))</x:f>
        <x:v>2026</x:v>
      </x:c>
      <x:c r="H41" t="n">
        <x:f>IF(A41="","",IF('Benefits Master'!M41&lt;&gt;"",'Benefits Master'!M41,IF('Benefits Master'!L41="End of Month",EOMONTH(TODAY(),0),IF('Benefits Master'!L41="End of Quarter",EOMONTH(DATE(YEAR(TODAY()),ROUNDUP(MONTH(TODAY())/3,0)*3,1),0),IF('Benefits Master'!L41="June 30",DATE(YEAR(TODAY()),6,30),IF('Benefits Master'!L41="Dec 31",DATE(YEAR(TODAY()),12,31),IF('Benefits Master'!L41="Card Anniversary","Enter open date",IF('Benefits Master'!L41="Specific Date","Set specific date",DATE(YEAR(TODAY()),12,31)))))))))</x:f>
        <x:v>46387</x:v>
      </x:c>
      <x:c r="I41" t="n">
        <x:f>IF(A41="","",'Benefits Master'!H41)</x:f>
        <x:v>500</x:v>
      </x:c>
      <x:c r="J41" t="n">
        <x:f>IF(A41="","",SUMIFS('Benefit Usage Log'!$H:$H,'Benefit Usage Log'!$E:$E,A41,'Benefit Usage Log'!$G:$G,G41))</x:f>
        <x:v>0</x:v>
      </x:c>
      <x:c r="K41" t="n">
        <x:f>IF(A41="","",MAX(0,I41-J41))</x:f>
        <x:v>500</x:v>
      </x:c>
      <x:c r="L41" t="n">
        <x:f>IF(A41="","",IF(I41=0,0,MIN(1,J41/I41)))</x:f>
        <x:v>0</x:v>
      </x:c>
      <x:c r="M41" t="str">
        <x:f>IF(A41="","",IF(ISNUMBER(H41)=FALSE,"Review Terms",IF(J41&gt;=I41,"Used",IF(AND(J41&gt;0,J41&lt;I41,H41&lt;TODAY()),"Missed",IF(AND(J41=0,H41&lt;TODAY()),"Missed",IF(AND(I41-J41&gt;0,H41-TODAY()&lt;='Benefits Master'!N41),"Expiring Soon",IF(J41&gt;0,"Partially Used","Not Used")))))))</x:f>
        <x:v>Not Used</x:v>
      </x:c>
      <x:c r="N41" t="n">
        <x:f>IF(A41="","",IF(ISNUMBER(H41),H41-TODAY(),""))</x:f>
        <x:v>243</x:v>
      </x:c>
      <x:c r="O41" t="str">
        <x:f>IF(A41="","",'Benefits Master'!P41)</x:f>
        <x:v>Medium</x:v>
      </x:c>
      <x:c r="P41" t="str">
        <x:f>IF(A41="","",'Benefits Master'!Q41)</x:f>
        <x:v>Yes</x:v>
      </x:c>
      <x:c r="Q41" t="str">
        <x:f>IF(A41="","",'Benefits Master'!S41)</x:f>
        <x:v>Up to $250 per prepaid booking, up to $500 annually; two-night minimum.</x:v>
      </x:c>
    </x:row>
    <x:row r="42">
      <x:c r="A42" t="str">
        <x:f>IF('Benefits Master'!A42="","",'Benefits Master'!A42)</x:f>
        <x:v>chase_sapphire_reserve_p1_select_hotel_2026</x:v>
      </x:c>
      <x:c r="B42" t="str">
        <x:f>IF(A42="","",'Benefits Master'!B42)</x:f>
        <x:v>Person 1</x:v>
      </x:c>
      <x:c r="C42" t="str">
        <x:f>IF(A42="","",'Benefits Master'!D42)</x:f>
        <x:v>Chase Sapphire Reserve</x:v>
      </x:c>
      <x:c r="D42" t="str">
        <x:f>IF(A42="","",'Benefits Master'!E42)</x:f>
        <x:v>2026 Select Chase Travel Hotel Credit</x:v>
      </x:c>
      <x:c r="E42" t="str">
        <x:f>IF(A42="","",'Benefits Master'!J42)</x:f>
        <x:v>One-time</x:v>
      </x:c>
      <x:c r="F42" t="str">
        <x:f>IF(A42="","",'Benefits Master'!K42)</x:f>
        <x:v>Specific Date Range</x:v>
      </x:c>
      <x:c r="G42" t="str">
        <x:f>IF(A42="","",IF(F42="Jan-Jun",YEAR(TODAY())&amp;"-H1",IF(F42="Jul-Dec",YEAR(TODAY())&amp;"-H2",IF(E42="Monthly",TEXT(TODAY(),"yyyy-mm"),IF(E42="Quarterly",YEAR(TODAY())&amp;"-Q"&amp;ROUNDUP(MONTH(TODAY())/3,0),IF(E42="Semiannual",IF(MONTH(TODAY())&lt;=6,YEAR(TODAY())&amp;"-H1",YEAR(TODAY())&amp;"-H2"),IF(E42="Annual",YEAR(TODAY()),IF(E42="One-time","One-time","Custom"))))))))</x:f>
        <x:v>One-time</x:v>
      </x:c>
      <x:c r="H42" t="n">
        <x:f>IF(A42="","",IF('Benefits Master'!M42&lt;&gt;"",'Benefits Master'!M42,IF('Benefits Master'!L42="End of Month",EOMONTH(TODAY(),0),IF('Benefits Master'!L42="End of Quarter",EOMONTH(DATE(YEAR(TODAY()),ROUNDUP(MONTH(TODAY())/3,0)*3,1),0),IF('Benefits Master'!L42="June 30",DATE(YEAR(TODAY()),6,30),IF('Benefits Master'!L42="Dec 31",DATE(YEAR(TODAY()),12,31),IF('Benefits Master'!L42="Card Anniversary","Enter open date",IF('Benefits Master'!L42="Specific Date","Set specific date",DATE(YEAR(TODAY()),12,31)))))))))</x:f>
        <x:v>46387</x:v>
      </x:c>
      <x:c r="I42" t="n">
        <x:f>IF(A42="","",'Benefits Master'!H42)</x:f>
        <x:v>250</x:v>
      </x:c>
      <x:c r="J42" t="n">
        <x:f>IF(A42="","",SUMIFS('Benefit Usage Log'!$H:$H,'Benefit Usage Log'!$E:$E,A42,'Benefit Usage Log'!$G:$G,G42))</x:f>
        <x:v>0</x:v>
      </x:c>
      <x:c r="K42" t="n">
        <x:f>IF(A42="","",MAX(0,I42-J42))</x:f>
        <x:v>250</x:v>
      </x:c>
      <x:c r="L42" t="n">
        <x:f>IF(A42="","",IF(I42=0,0,MIN(1,J42/I42)))</x:f>
        <x:v>0</x:v>
      </x:c>
      <x:c r="M42" t="str">
        <x:f>IF(A42="","",IF(ISNUMBER(H42)=FALSE,"Review Terms",IF(J42&gt;=I42,"Used",IF(AND(J42&gt;0,J42&lt;I42,H42&lt;TODAY()),"Missed",IF(AND(J42=0,H42&lt;TODAY()),"Missed",IF(AND(I42-J42&gt;0,H42-TODAY()&lt;='Benefits Master'!N42),"Expiring Soon",IF(J42&gt;0,"Partially Used","Not Used")))))))</x:f>
        <x:v>Not Used</x:v>
      </x:c>
      <x:c r="N42" t="n">
        <x:f>IF(A42="","",IF(ISNUMBER(H42),H42-TODAY(),""))</x:f>
        <x:v>243</x:v>
      </x:c>
      <x:c r="O42" t="str">
        <x:f>IF(A42="","",'Benefits Master'!P42)</x:f>
        <x:v>Medium</x:v>
      </x:c>
      <x:c r="P42" t="str">
        <x:f>IF(A42="","",'Benefits Master'!Q42)</x:f>
        <x:v>Yes</x:v>
      </x:c>
      <x:c r="Q42" t="str">
        <x:f>IF(A42="","",'Benefits Master'!S42)</x:f>
        <x:v>2026-only select Chase Travel hotel credit; two-night minimum; verify eligible brands.</x:v>
      </x:c>
    </x:row>
    <x:row r="43">
      <x:c r="A43" t="str">
        <x:f>IF('Benefits Master'!A43="","",'Benefits Master'!A43)</x:f>
        <x:v>chase_sapphire_reserve_p1_global_entry</x:v>
      </x:c>
      <x:c r="B43" t="str">
        <x:f>IF(A43="","",'Benefits Master'!B43)</x:f>
        <x:v>Person 1</x:v>
      </x:c>
      <x:c r="C43" t="str">
        <x:f>IF(A43="","",'Benefits Master'!D43)</x:f>
        <x:v>Chase Sapphire Reserve</x:v>
      </x:c>
      <x:c r="D43" t="str">
        <x:f>IF(A43="","",'Benefits Master'!E43)</x:f>
        <x:v>Global Entry / TSA PreCheck / NEXUS</x:v>
      </x:c>
      <x:c r="E43" t="str">
        <x:f>IF(A43="","",'Benefits Master'!J43)</x:f>
        <x:v>Custom</x:v>
      </x:c>
      <x:c r="F43" t="str">
        <x:f>IF(A43="","",'Benefits Master'!K43)</x:f>
        <x:v>Specific Date Range</x:v>
      </x:c>
      <x:c r="G43" t="str">
        <x:f>IF(A43="","",IF(F43="Jan-Jun",YEAR(TODAY())&amp;"-H1",IF(F43="Jul-Dec",YEAR(TODAY())&amp;"-H2",IF(E43="Monthly",TEXT(TODAY(),"yyyy-mm"),IF(E43="Quarterly",YEAR(TODAY())&amp;"-Q"&amp;ROUNDUP(MONTH(TODAY())/3,0),IF(E43="Semiannual",IF(MONTH(TODAY())&lt;=6,YEAR(TODAY())&amp;"-H1",YEAR(TODAY())&amp;"-H2"),IF(E43="Annual",YEAR(TODAY()),IF(E43="One-time","One-time","Custom"))))))))</x:f>
        <x:v>Custom</x:v>
      </x:c>
      <x:c r="H43" t="str">
        <x:f>IF(A43="","",IF('Benefits Master'!M43&lt;&gt;"",'Benefits Master'!M43,IF('Benefits Master'!L43="End of Month",EOMONTH(TODAY(),0),IF('Benefits Master'!L43="End of Quarter",EOMONTH(DATE(YEAR(TODAY()),ROUNDUP(MONTH(TODAY())/3,0)*3,1),0),IF('Benefits Master'!L43="June 30",DATE(YEAR(TODAY()),6,30),IF('Benefits Master'!L43="Dec 31",DATE(YEAR(TODAY()),12,31),IF('Benefits Master'!L43="Card Anniversary","Enter open date",IF('Benefits Master'!L43="Specific Date","Set specific date",DATE(YEAR(TODAY()),12,31)))))))))</x:f>
        <x:v>Set specific date</x:v>
      </x:c>
      <x:c r="I43" t="n">
        <x:f>IF(A43="","",'Benefits Master'!H43)</x:f>
        <x:v>120</x:v>
      </x:c>
      <x:c r="J43" t="n">
        <x:f>IF(A43="","",SUMIFS('Benefit Usage Log'!$H:$H,'Benefit Usage Log'!$E:$E,A43,'Benefit Usage Log'!$G:$G,G43))</x:f>
        <x:v>0</x:v>
      </x:c>
      <x:c r="K43" t="n">
        <x:f>IF(A43="","",MAX(0,I43-J43))</x:f>
        <x:v>120</x:v>
      </x:c>
      <x:c r="L43" t="n">
        <x:f>IF(A43="","",IF(I43=0,0,MIN(1,J43/I43)))</x:f>
        <x:v>0</x:v>
      </x:c>
      <x:c r="M43" t="str">
        <x:f>IF(A43="","",IF(ISNUMBER(H43)=FALSE,"Review Terms",IF(J43&gt;=I43,"Used",IF(AND(J43&gt;0,J43&lt;I43,H43&lt;TODAY()),"Missed",IF(AND(J43=0,H43&lt;TODAY()),"Missed",IF(AND(I43-J43&gt;0,H43-TODAY()&lt;='Benefits Master'!N43),"Expiring Soon",IF(J43&gt;0,"Partially Used","Not Used")))))))</x:f>
        <x:v>Review Terms</x:v>
      </x:c>
      <x:c r="N43" t="str">
        <x:f>IF(A43="","",IF(ISNUMBER(H43),H43-TODAY(),""))</x:f>
      </x:c>
      <x:c r="O43" t="str">
        <x:f>IF(A43="","",'Benefits Master'!P43)</x:f>
        <x:v>Low</x:v>
      </x:c>
      <x:c r="P43" t="str">
        <x:f>IF(A43="","",'Benefits Master'!Q43)</x:f>
        <x:v>No</x:v>
      </x:c>
      <x:c r="Q43" t="str">
        <x:f>IF(A43="","",'Benefits Master'!S43)</x:f>
        <x:v>Up to $120 every four years. Manually set expiry when due.</x:v>
      </x:c>
    </x:row>
    <x:row r="44">
      <x:c r="A44" t="str">
        <x:f>IF('Benefits Master'!A44="","",'Benefits Master'!A44)</x:f>
        <x:v>chase_sapphire_reserve_p2_travel_annual</x:v>
      </x:c>
      <x:c r="B44" t="str">
        <x:f>IF(A44="","",'Benefits Master'!B44)</x:f>
        <x:v>Person 2</x:v>
      </x:c>
      <x:c r="C44" t="str">
        <x:f>IF(A44="","",'Benefits Master'!D44)</x:f>
        <x:v>Chase Sapphire Reserve</x:v>
      </x:c>
      <x:c r="D44" t="str">
        <x:f>IF(A44="","",'Benefits Master'!E44)</x:f>
        <x:v>Annual Travel Credit</x:v>
      </x:c>
      <x:c r="E44" t="str">
        <x:f>IF(A44="","",'Benefits Master'!J44)</x:f>
        <x:v>Annual</x:v>
      </x:c>
      <x:c r="F44" t="str">
        <x:f>IF(A44="","",'Benefits Master'!K44)</x:f>
        <x:v>Cardmember Year</x:v>
      </x:c>
      <x:c r="G44" t="n">
        <x:f>IF(A44="","",IF(F44="Jan-Jun",YEAR(TODAY())&amp;"-H1",IF(F44="Jul-Dec",YEAR(TODAY())&amp;"-H2",IF(E44="Monthly",TEXT(TODAY(),"yyyy-mm"),IF(E44="Quarterly",YEAR(TODAY())&amp;"-Q"&amp;ROUNDUP(MONTH(TODAY())/3,0),IF(E44="Semiannual",IF(MONTH(TODAY())&lt;=6,YEAR(TODAY())&amp;"-H1",YEAR(TODAY())&amp;"-H2"),IF(E44="Annual",YEAR(TODAY()),IF(E44="One-time","One-time","Custom"))))))))</x:f>
        <x:v>2026</x:v>
      </x:c>
      <x:c r="H44" t="str">
        <x:f>IF(A44="","",IF('Benefits Master'!M44&lt;&gt;"",'Benefits Master'!M44,IF('Benefits Master'!L44="End of Month",EOMONTH(TODAY(),0),IF('Benefits Master'!L44="End of Quarter",EOMONTH(DATE(YEAR(TODAY()),ROUNDUP(MONTH(TODAY())/3,0)*3,1),0),IF('Benefits Master'!L44="June 30",DATE(YEAR(TODAY()),6,30),IF('Benefits Master'!L44="Dec 31",DATE(YEAR(TODAY()),12,31),IF('Benefits Master'!L44="Card Anniversary","Enter open date",IF('Benefits Master'!L44="Specific Date","Set specific date",DATE(YEAR(TODAY()),12,31)))))))))</x:f>
        <x:v>Enter open date</x:v>
      </x:c>
      <x:c r="I44" t="n">
        <x:f>IF(A44="","",'Benefits Master'!H44)</x:f>
        <x:v>300</x:v>
      </x:c>
      <x:c r="J44" t="n">
        <x:f>IF(A44="","",SUMIFS('Benefit Usage Log'!$H:$H,'Benefit Usage Log'!$E:$E,A44,'Benefit Usage Log'!$G:$G,G44))</x:f>
        <x:v>0</x:v>
      </x:c>
      <x:c r="K44" t="n">
        <x:f>IF(A44="","",MAX(0,I44-J44))</x:f>
        <x:v>300</x:v>
      </x:c>
      <x:c r="L44" t="n">
        <x:f>IF(A44="","",IF(I44=0,0,MIN(1,J44/I44)))</x:f>
        <x:v>0</x:v>
      </x:c>
      <x:c r="M44" t="str">
        <x:f>IF(A44="","",IF(ISNUMBER(H44)=FALSE,"Review Terms",IF(J44&gt;=I44,"Used",IF(AND(J44&gt;0,J44&lt;I44,H44&lt;TODAY()),"Missed",IF(AND(J44=0,H44&lt;TODAY()),"Missed",IF(AND(I44-J44&gt;0,H44-TODAY()&lt;='Benefits Master'!N44),"Expiring Soon",IF(J44&gt;0,"Partially Used","Not Used")))))))</x:f>
        <x:v>Review Terms</x:v>
      </x:c>
      <x:c r="N44" t="str">
        <x:f>IF(A44="","",IF(ISNUMBER(H44),H44-TODAY(),""))</x:f>
      </x:c>
      <x:c r="O44" t="str">
        <x:f>IF(A44="","",'Benefits Master'!P44)</x:f>
        <x:v>High</x:v>
      </x:c>
      <x:c r="P44" t="str">
        <x:f>IF(A44="","",'Benefits Master'!Q44)</x:f>
        <x:v>Yes</x:v>
      </x:c>
      <x:c r="Q44" t="str">
        <x:f>IF(A44="","",'Benefits Master'!S44)</x:f>
        <x:v>Up to $300 annual travel credit; anniversary-year based. Add open date/renewal to refine.</x:v>
      </x:c>
    </x:row>
    <x:row r="45">
      <x:c r="A45" t="str">
        <x:f>IF('Benefits Master'!A45="","",'Benefits Master'!A45)</x:f>
        <x:v>chase_sapphire_reserve_p2_dining_h1</x:v>
      </x:c>
      <x:c r="B45" t="str">
        <x:f>IF(A45="","",'Benefits Master'!B45)</x:f>
        <x:v>Person 2</x:v>
      </x:c>
      <x:c r="C45" t="str">
        <x:f>IF(A45="","",'Benefits Master'!D45)</x:f>
        <x:v>Chase Sapphire Reserve</x:v>
      </x:c>
      <x:c r="D45" t="str">
        <x:f>IF(A45="","",'Benefits Master'!E45)</x:f>
        <x:v>Sapphire Reserve Dining Credit H1</x:v>
      </x:c>
      <x:c r="E45" t="str">
        <x:f>IF(A45="","",'Benefits Master'!J45)</x:f>
        <x:v>Semiannual</x:v>
      </x:c>
      <x:c r="F45" t="str">
        <x:f>IF(A45="","",'Benefits Master'!K45)</x:f>
        <x:v>Jan-Jun</x:v>
      </x:c>
      <x:c r="G45" t="str">
        <x:f>IF(A45="","",IF(F45="Jan-Jun",YEAR(TODAY())&amp;"-H1",IF(F45="Jul-Dec",YEAR(TODAY())&amp;"-H2",IF(E45="Monthly",TEXT(TODAY(),"yyyy-mm"),IF(E45="Quarterly",YEAR(TODAY())&amp;"-Q"&amp;ROUNDUP(MONTH(TODAY())/3,0),IF(E45="Semiannual",IF(MONTH(TODAY())&lt;=6,YEAR(TODAY())&amp;"-H1",YEAR(TODAY())&amp;"-H2"),IF(E45="Annual",YEAR(TODAY()),IF(E45="One-time","One-time","Custom"))))))))</x:f>
        <x:v>2026-H1</x:v>
      </x:c>
      <x:c r="H45" t="n">
        <x:f>IF(A45="","",IF('Benefits Master'!M45&lt;&gt;"",'Benefits Master'!M45,IF('Benefits Master'!L45="End of Month",EOMONTH(TODAY(),0),IF('Benefits Master'!L45="End of Quarter",EOMONTH(DATE(YEAR(TODAY()),ROUNDUP(MONTH(TODAY())/3,0)*3,1),0),IF('Benefits Master'!L45="June 30",DATE(YEAR(TODAY()),6,30),IF('Benefits Master'!L45="Dec 31",DATE(YEAR(TODAY()),12,31),IF('Benefits Master'!L45="Card Anniversary","Enter open date",IF('Benefits Master'!L45="Specific Date","Set specific date",DATE(YEAR(TODAY()),12,31)))))))))</x:f>
        <x:v>46203</x:v>
      </x:c>
      <x:c r="I45" t="n">
        <x:f>IF(A45="","",'Benefits Master'!H45)</x:f>
        <x:v>150</x:v>
      </x:c>
      <x:c r="J45" t="n">
        <x:f>IF(A45="","",SUMIFS('Benefit Usage Log'!$H:$H,'Benefit Usage Log'!$E:$E,A45,'Benefit Usage Log'!$G:$G,G45))</x:f>
        <x:v>0</x:v>
      </x:c>
      <x:c r="K45" t="n">
        <x:f>IF(A45="","",MAX(0,I45-J45))</x:f>
        <x:v>150</x:v>
      </x:c>
      <x:c r="L45" t="n">
        <x:f>IF(A45="","",IF(I45=0,0,MIN(1,J45/I45)))</x:f>
        <x:v>0</x:v>
      </x:c>
      <x:c r="M45" t="str">
        <x:f>IF(A45="","",IF(ISNUMBER(H45)=FALSE,"Review Terms",IF(J45&gt;=I45,"Used",IF(AND(J45&gt;0,J45&lt;I45,H45&lt;TODAY()),"Missed",IF(AND(J45=0,H45&lt;TODAY()),"Missed",IF(AND(I45-J45&gt;0,H45-TODAY()&lt;='Benefits Master'!N45),"Expiring Soon",IF(J45&gt;0,"Partially Used","Not Used")))))))</x:f>
        <x:v>Not Used</x:v>
      </x:c>
      <x:c r="N45" t="n">
        <x:f>IF(A45="","",IF(ISNUMBER(H45),H45-TODAY(),""))</x:f>
        <x:v>59</x:v>
      </x:c>
      <x:c r="O45" t="str">
        <x:f>IF(A45="","",'Benefits Master'!P45)</x:f>
        <x:v>High</x:v>
      </x:c>
      <x:c r="P45" t="str">
        <x:f>IF(A45="","",'Benefits Master'!Q45)</x:f>
        <x:v>Yes</x:v>
      </x:c>
      <x:c r="Q45" t="str">
        <x:f>IF(A45="","",'Benefits Master'!S45)</x:f>
        <x:v>Up to $150 Jan-Jun at Sapphire Reserve Exclusive Tables restaurants.</x:v>
      </x:c>
    </x:row>
    <x:row r="46">
      <x:c r="A46" t="str">
        <x:f>IF('Benefits Master'!A46="","",'Benefits Master'!A46)</x:f>
        <x:v>chase_sapphire_reserve_p2_dining_h2</x:v>
      </x:c>
      <x:c r="B46" t="str">
        <x:f>IF(A46="","",'Benefits Master'!B46)</x:f>
        <x:v>Person 2</x:v>
      </x:c>
      <x:c r="C46" t="str">
        <x:f>IF(A46="","",'Benefits Master'!D46)</x:f>
        <x:v>Chase Sapphire Reserve</x:v>
      </x:c>
      <x:c r="D46" t="str">
        <x:f>IF(A46="","",'Benefits Master'!E46)</x:f>
        <x:v>Sapphire Reserve Dining Credit H2</x:v>
      </x:c>
      <x:c r="E46" t="str">
        <x:f>IF(A46="","",'Benefits Master'!J46)</x:f>
        <x:v>Semiannual</x:v>
      </x:c>
      <x:c r="F46" t="str">
        <x:f>IF(A46="","",'Benefits Master'!K46)</x:f>
        <x:v>Jul-Dec</x:v>
      </x:c>
      <x:c r="G46" t="str">
        <x:f>IF(A46="","",IF(F46="Jan-Jun",YEAR(TODAY())&amp;"-H1",IF(F46="Jul-Dec",YEAR(TODAY())&amp;"-H2",IF(E46="Monthly",TEXT(TODAY(),"yyyy-mm"),IF(E46="Quarterly",YEAR(TODAY())&amp;"-Q"&amp;ROUNDUP(MONTH(TODAY())/3,0),IF(E46="Semiannual",IF(MONTH(TODAY())&lt;=6,YEAR(TODAY())&amp;"-H1",YEAR(TODAY())&amp;"-H2"),IF(E46="Annual",YEAR(TODAY()),IF(E46="One-time","One-time","Custom"))))))))</x:f>
        <x:v>2026-H2</x:v>
      </x:c>
      <x:c r="H46" t="n">
        <x:f>IF(A46="","",IF('Benefits Master'!M46&lt;&gt;"",'Benefits Master'!M46,IF('Benefits Master'!L46="End of Month",EOMONTH(TODAY(),0),IF('Benefits Master'!L46="End of Quarter",EOMONTH(DATE(YEAR(TODAY()),ROUNDUP(MONTH(TODAY())/3,0)*3,1),0),IF('Benefits Master'!L46="June 30",DATE(YEAR(TODAY()),6,30),IF('Benefits Master'!L46="Dec 31",DATE(YEAR(TODAY()),12,31),IF('Benefits Master'!L46="Card Anniversary","Enter open date",IF('Benefits Master'!L46="Specific Date","Set specific date",DATE(YEAR(TODAY()),12,31)))))))))</x:f>
        <x:v>46387</x:v>
      </x:c>
      <x:c r="I46" t="n">
        <x:f>IF(A46="","",'Benefits Master'!H46)</x:f>
        <x:v>150</x:v>
      </x:c>
      <x:c r="J46" t="n">
        <x:f>IF(A46="","",SUMIFS('Benefit Usage Log'!$H:$H,'Benefit Usage Log'!$E:$E,A46,'Benefit Usage Log'!$G:$G,G46))</x:f>
        <x:v>0</x:v>
      </x:c>
      <x:c r="K46" t="n">
        <x:f>IF(A46="","",MAX(0,I46-J46))</x:f>
        <x:v>150</x:v>
      </x:c>
      <x:c r="L46" t="n">
        <x:f>IF(A46="","",IF(I46=0,0,MIN(1,J46/I46)))</x:f>
        <x:v>0</x:v>
      </x:c>
      <x:c r="M46" t="str">
        <x:f>IF(A46="","",IF(ISNUMBER(H46)=FALSE,"Review Terms",IF(J46&gt;=I46,"Used",IF(AND(J46&gt;0,J46&lt;I46,H46&lt;TODAY()),"Missed",IF(AND(J46=0,H46&lt;TODAY()),"Missed",IF(AND(I46-J46&gt;0,H46-TODAY()&lt;='Benefits Master'!N46),"Expiring Soon",IF(J46&gt;0,"Partially Used","Not Used")))))))</x:f>
        <x:v>Not Used</x:v>
      </x:c>
      <x:c r="N46" t="n">
        <x:f>IF(A46="","",IF(ISNUMBER(H46),H46-TODAY(),""))</x:f>
        <x:v>243</x:v>
      </x:c>
      <x:c r="O46" t="str">
        <x:f>IF(A46="","",'Benefits Master'!P46)</x:f>
        <x:v>High</x:v>
      </x:c>
      <x:c r="P46" t="str">
        <x:f>IF(A46="","",'Benefits Master'!Q46)</x:f>
        <x:v>Yes</x:v>
      </x:c>
      <x:c r="Q46" t="str">
        <x:f>IF(A46="","",'Benefits Master'!S46)</x:f>
        <x:v>Up to $150 Jul-Dec at Sapphire Reserve Exclusive Tables restaurants.</x:v>
      </x:c>
    </x:row>
    <x:row r="47">
      <x:c r="A47" t="str">
        <x:f>IF('Benefits Master'!A47="","",'Benefits Master'!A47)</x:f>
        <x:v>chase_sapphire_reserve_p2_stubhub_h1</x:v>
      </x:c>
      <x:c r="B47" t="str">
        <x:f>IF(A47="","",'Benefits Master'!B47)</x:f>
        <x:v>Person 2</x:v>
      </x:c>
      <x:c r="C47" t="str">
        <x:f>IF(A47="","",'Benefits Master'!D47)</x:f>
        <x:v>Chase Sapphire Reserve</x:v>
      </x:c>
      <x:c r="D47" t="str">
        <x:f>IF(A47="","",'Benefits Master'!E47)</x:f>
        <x:v>StubHub / viagogo Credit H1</x:v>
      </x:c>
      <x:c r="E47" t="str">
        <x:f>IF(A47="","",'Benefits Master'!J47)</x:f>
        <x:v>Semiannual</x:v>
      </x:c>
      <x:c r="F47" t="str">
        <x:f>IF(A47="","",'Benefits Master'!K47)</x:f>
        <x:v>Jan-Jun</x:v>
      </x:c>
      <x:c r="G47" t="str">
        <x:f>IF(A47="","",IF(F47="Jan-Jun",YEAR(TODAY())&amp;"-H1",IF(F47="Jul-Dec",YEAR(TODAY())&amp;"-H2",IF(E47="Monthly",TEXT(TODAY(),"yyyy-mm"),IF(E47="Quarterly",YEAR(TODAY())&amp;"-Q"&amp;ROUNDUP(MONTH(TODAY())/3,0),IF(E47="Semiannual",IF(MONTH(TODAY())&lt;=6,YEAR(TODAY())&amp;"-H1",YEAR(TODAY())&amp;"-H2"),IF(E47="Annual",YEAR(TODAY()),IF(E47="One-time","One-time","Custom"))))))))</x:f>
        <x:v>2026-H1</x:v>
      </x:c>
      <x:c r="H47" t="n">
        <x:f>IF(A47="","",IF('Benefits Master'!M47&lt;&gt;"",'Benefits Master'!M47,IF('Benefits Master'!L47="End of Month",EOMONTH(TODAY(),0),IF('Benefits Master'!L47="End of Quarter",EOMONTH(DATE(YEAR(TODAY()),ROUNDUP(MONTH(TODAY())/3,0)*3,1),0),IF('Benefits Master'!L47="June 30",DATE(YEAR(TODAY()),6,30),IF('Benefits Master'!L47="Dec 31",DATE(YEAR(TODAY()),12,31),IF('Benefits Master'!L47="Card Anniversary","Enter open date",IF('Benefits Master'!L47="Specific Date","Set specific date",DATE(YEAR(TODAY()),12,31)))))))))</x:f>
        <x:v>46203</x:v>
      </x:c>
      <x:c r="I47" t="n">
        <x:f>IF(A47="","",'Benefits Master'!H47)</x:f>
        <x:v>150</x:v>
      </x:c>
      <x:c r="J47" t="n">
        <x:f>IF(A47="","",SUMIFS('Benefit Usage Log'!$H:$H,'Benefit Usage Log'!$E:$E,A47,'Benefit Usage Log'!$G:$G,G47))</x:f>
        <x:v>0</x:v>
      </x:c>
      <x:c r="K47" t="n">
        <x:f>IF(A47="","",MAX(0,I47-J47))</x:f>
        <x:v>150</x:v>
      </x:c>
      <x:c r="L47" t="n">
        <x:f>IF(A47="","",IF(I47=0,0,MIN(1,J47/I47)))</x:f>
        <x:v>0</x:v>
      </x:c>
      <x:c r="M47" t="str">
        <x:f>IF(A47="","",IF(ISNUMBER(H47)=FALSE,"Review Terms",IF(J47&gt;=I47,"Used",IF(AND(J47&gt;0,J47&lt;I47,H47&lt;TODAY()),"Missed",IF(AND(J47=0,H47&lt;TODAY()),"Missed",IF(AND(I47-J47&gt;0,H47-TODAY()&lt;='Benefits Master'!N47),"Expiring Soon",IF(J47&gt;0,"Partially Used","Not Used")))))))</x:f>
        <x:v>Not Used</x:v>
      </x:c>
      <x:c r="N47" t="n">
        <x:f>IF(A47="","",IF(ISNUMBER(H47),H47-TODAY(),""))</x:f>
        <x:v>59</x:v>
      </x:c>
      <x:c r="O47" t="str">
        <x:f>IF(A47="","",'Benefits Master'!P47)</x:f>
        <x:v>Medium</x:v>
      </x:c>
      <x:c r="P47" t="str">
        <x:f>IF(A47="","",'Benefits Master'!Q47)</x:f>
        <x:v>Yes</x:v>
      </x:c>
      <x:c r="Q47" t="str">
        <x:f>IF(A47="","",'Benefits Master'!S47)</x:f>
        <x:v>Up to $150 Jan-Jun; activation required.</x:v>
      </x:c>
    </x:row>
    <x:row r="48">
      <x:c r="A48" t="str">
        <x:f>IF('Benefits Master'!A48="","",'Benefits Master'!A48)</x:f>
        <x:v>chase_sapphire_reserve_p2_stubhub_h2</x:v>
      </x:c>
      <x:c r="B48" t="str">
        <x:f>IF(A48="","",'Benefits Master'!B48)</x:f>
        <x:v>Person 2</x:v>
      </x:c>
      <x:c r="C48" t="str">
        <x:f>IF(A48="","",'Benefits Master'!D48)</x:f>
        <x:v>Chase Sapphire Reserve</x:v>
      </x:c>
      <x:c r="D48" t="str">
        <x:f>IF(A48="","",'Benefits Master'!E48)</x:f>
        <x:v>StubHub / viagogo Credit H2</x:v>
      </x:c>
      <x:c r="E48" t="str">
        <x:f>IF(A48="","",'Benefits Master'!J48)</x:f>
        <x:v>Semiannual</x:v>
      </x:c>
      <x:c r="F48" t="str">
        <x:f>IF(A48="","",'Benefits Master'!K48)</x:f>
        <x:v>Jul-Dec</x:v>
      </x:c>
      <x:c r="G48" t="str">
        <x:f>IF(A48="","",IF(F48="Jan-Jun",YEAR(TODAY())&amp;"-H1",IF(F48="Jul-Dec",YEAR(TODAY())&amp;"-H2",IF(E48="Monthly",TEXT(TODAY(),"yyyy-mm"),IF(E48="Quarterly",YEAR(TODAY())&amp;"-Q"&amp;ROUNDUP(MONTH(TODAY())/3,0),IF(E48="Semiannual",IF(MONTH(TODAY())&lt;=6,YEAR(TODAY())&amp;"-H1",YEAR(TODAY())&amp;"-H2"),IF(E48="Annual",YEAR(TODAY()),IF(E48="One-time","One-time","Custom"))))))))</x:f>
        <x:v>2026-H2</x:v>
      </x:c>
      <x:c r="H48" t="n">
        <x:f>IF(A48="","",IF('Benefits Master'!M48&lt;&gt;"",'Benefits Master'!M48,IF('Benefits Master'!L48="End of Month",EOMONTH(TODAY(),0),IF('Benefits Master'!L48="End of Quarter",EOMONTH(DATE(YEAR(TODAY()),ROUNDUP(MONTH(TODAY())/3,0)*3,1),0),IF('Benefits Master'!L48="June 30",DATE(YEAR(TODAY()),6,30),IF('Benefits Master'!L48="Dec 31",DATE(YEAR(TODAY()),12,31),IF('Benefits Master'!L48="Card Anniversary","Enter open date",IF('Benefits Master'!L48="Specific Date","Set specific date",DATE(YEAR(TODAY()),12,31)))))))))</x:f>
        <x:v>46387</x:v>
      </x:c>
      <x:c r="I48" t="n">
        <x:f>IF(A48="","",'Benefits Master'!H48)</x:f>
        <x:v>150</x:v>
      </x:c>
      <x:c r="J48" t="n">
        <x:f>IF(A48="","",SUMIFS('Benefit Usage Log'!$H:$H,'Benefit Usage Log'!$E:$E,A48,'Benefit Usage Log'!$G:$G,G48))</x:f>
        <x:v>0</x:v>
      </x:c>
      <x:c r="K48" t="n">
        <x:f>IF(A48="","",MAX(0,I48-J48))</x:f>
        <x:v>150</x:v>
      </x:c>
      <x:c r="L48" t="n">
        <x:f>IF(A48="","",IF(I48=0,0,MIN(1,J48/I48)))</x:f>
        <x:v>0</x:v>
      </x:c>
      <x:c r="M48" t="str">
        <x:f>IF(A48="","",IF(ISNUMBER(H48)=FALSE,"Review Terms",IF(J48&gt;=I48,"Used",IF(AND(J48&gt;0,J48&lt;I48,H48&lt;TODAY()),"Missed",IF(AND(J48=0,H48&lt;TODAY()),"Missed",IF(AND(I48-J48&gt;0,H48-TODAY()&lt;='Benefits Master'!N48),"Expiring Soon",IF(J48&gt;0,"Partially Used","Not Used")))))))</x:f>
        <x:v>Not Used</x:v>
      </x:c>
      <x:c r="N48" t="n">
        <x:f>IF(A48="","",IF(ISNUMBER(H48),H48-TODAY(),""))</x:f>
        <x:v>243</x:v>
      </x:c>
      <x:c r="O48" t="str">
        <x:f>IF(A48="","",'Benefits Master'!P48)</x:f>
        <x:v>Medium</x:v>
      </x:c>
      <x:c r="P48" t="str">
        <x:f>IF(A48="","",'Benefits Master'!Q48)</x:f>
        <x:v>Yes</x:v>
      </x:c>
      <x:c r="Q48" t="str">
        <x:f>IF(A48="","",'Benefits Master'!S48)</x:f>
        <x:v>Up to $150 Jul-Dec; activation required.</x:v>
      </x:c>
    </x:row>
    <x:row r="49">
      <x:c r="A49" t="str">
        <x:f>IF('Benefits Master'!A49="","",'Benefits Master'!A49)</x:f>
        <x:v>chase_sapphire_reserve_p2_lyft_monthly</x:v>
      </x:c>
      <x:c r="B49" t="str">
        <x:f>IF(A49="","",'Benefits Master'!B49)</x:f>
        <x:v>Person 2</x:v>
      </x:c>
      <x:c r="C49" t="str">
        <x:f>IF(A49="","",'Benefits Master'!D49)</x:f>
        <x:v>Chase Sapphire Reserve</x:v>
      </x:c>
      <x:c r="D49" t="str">
        <x:f>IF(A49="","",'Benefits Master'!E49)</x:f>
        <x:v>Lyft Monthly Credit</x:v>
      </x:c>
      <x:c r="E49" t="str">
        <x:f>IF(A49="","",'Benefits Master'!J49)</x:f>
        <x:v>Monthly</x:v>
      </x:c>
      <x:c r="F49" t="str">
        <x:f>IF(A49="","",'Benefits Master'!K49)</x:f>
        <x:v>Calendar Month</x:v>
      </x:c>
      <x:c r="G49" t="str">
        <x:f>IF(A49="","",IF(F49="Jan-Jun",YEAR(TODAY())&amp;"-H1",IF(F49="Jul-Dec",YEAR(TODAY())&amp;"-H2",IF(E49="Monthly",TEXT(TODAY(),"yyyy-mm"),IF(E49="Quarterly",YEAR(TODAY())&amp;"-Q"&amp;ROUNDUP(MONTH(TODAY())/3,0),IF(E49="Semiannual",IF(MONTH(TODAY())&lt;=6,YEAR(TODAY())&amp;"-H1",YEAR(TODAY())&amp;"-H2"),IF(E49="Annual",YEAR(TODAY()),IF(E49="One-time","One-time","Custom"))))))))</x:f>
        <x:v>2026-05</x:v>
      </x:c>
      <x:c r="H49" t="n">
        <x:f>IF(A49="","",IF('Benefits Master'!M49&lt;&gt;"",'Benefits Master'!M49,IF('Benefits Master'!L49="End of Month",EOMONTH(TODAY(),0),IF('Benefits Master'!L49="End of Quarter",EOMONTH(DATE(YEAR(TODAY()),ROUNDUP(MONTH(TODAY())/3,0)*3,1),0),IF('Benefits Master'!L49="June 30",DATE(YEAR(TODAY()),6,30),IF('Benefits Master'!L49="Dec 31",DATE(YEAR(TODAY()),12,31),IF('Benefits Master'!L49="Card Anniversary","Enter open date",IF('Benefits Master'!L49="Specific Date","Set specific date",DATE(YEAR(TODAY()),12,31)))))))))</x:f>
        <x:v>46173</x:v>
      </x:c>
      <x:c r="I49" t="n">
        <x:f>IF(A49="","",'Benefits Master'!H49)</x:f>
        <x:v>10</x:v>
      </x:c>
      <x:c r="J49" t="n">
        <x:f>IF(A49="","",SUMIFS('Benefit Usage Log'!$H:$H,'Benefit Usage Log'!$E:$E,A49,'Benefit Usage Log'!$G:$G,G49))</x:f>
        <x:v>0</x:v>
      </x:c>
      <x:c r="K49" t="n">
        <x:f>IF(A49="","",MAX(0,I49-J49))</x:f>
        <x:v>10</x:v>
      </x:c>
      <x:c r="L49" t="n">
        <x:f>IF(A49="","",IF(I49=0,0,MIN(1,J49/I49)))</x:f>
        <x:v>0</x:v>
      </x:c>
      <x:c r="M49" t="str">
        <x:f>IF(A49="","",IF(ISNUMBER(H49)=FALSE,"Review Terms",IF(J49&gt;=I49,"Used",IF(AND(J49&gt;0,J49&lt;I49,H49&lt;TODAY()),"Missed",IF(AND(J49=0,H49&lt;TODAY()),"Missed",IF(AND(I49-J49&gt;0,H49-TODAY()&lt;='Benefits Master'!N49),"Expiring Soon",IF(J49&gt;0,"Partially Used","Not Used")))))))</x:f>
        <x:v>Not Used</x:v>
      </x:c>
      <x:c r="N49" t="n">
        <x:f>IF(A49="","",IF(ISNUMBER(H49),H49-TODAY(),""))</x:f>
        <x:v>29</x:v>
      </x:c>
      <x:c r="O49" t="str">
        <x:f>IF(A49="","",'Benefits Master'!P49)</x:f>
        <x:v>Medium</x:v>
      </x:c>
      <x:c r="P49" t="str">
        <x:f>IF(A49="","",'Benefits Master'!Q49)</x:f>
        <x:v>Yes</x:v>
      </x:c>
      <x:c r="Q49" t="str">
        <x:f>IF(A49="","",'Benefits Master'!S49)</x:f>
        <x:v>Up to $10/month Lyft credit through 9/30/2027.</x:v>
      </x:c>
    </x:row>
    <x:row r="50">
      <x:c r="A50" t="str">
        <x:f>IF('Benefits Master'!A50="","",'Benefits Master'!A50)</x:f>
        <x:v>chase_sapphire_reserve_p2_peloton_monthly</x:v>
      </x:c>
      <x:c r="B50" t="str">
        <x:f>IF(A50="","",'Benefits Master'!B50)</x:f>
        <x:v>Person 2</x:v>
      </x:c>
      <x:c r="C50" t="str">
        <x:f>IF(A50="","",'Benefits Master'!D50)</x:f>
        <x:v>Chase Sapphire Reserve</x:v>
      </x:c>
      <x:c r="D50" t="str">
        <x:f>IF(A50="","",'Benefits Master'!E50)</x:f>
        <x:v>Peloton Monthly Credit</x:v>
      </x:c>
      <x:c r="E50" t="str">
        <x:f>IF(A50="","",'Benefits Master'!J50)</x:f>
        <x:v>Monthly</x:v>
      </x:c>
      <x:c r="F50" t="str">
        <x:f>IF(A50="","",'Benefits Master'!K50)</x:f>
        <x:v>Calendar Month</x:v>
      </x:c>
      <x:c r="G50" t="str">
        <x:f>IF(A50="","",IF(F50="Jan-Jun",YEAR(TODAY())&amp;"-H1",IF(F50="Jul-Dec",YEAR(TODAY())&amp;"-H2",IF(E50="Monthly",TEXT(TODAY(),"yyyy-mm"),IF(E50="Quarterly",YEAR(TODAY())&amp;"-Q"&amp;ROUNDUP(MONTH(TODAY())/3,0),IF(E50="Semiannual",IF(MONTH(TODAY())&lt;=6,YEAR(TODAY())&amp;"-H1",YEAR(TODAY())&amp;"-H2"),IF(E50="Annual",YEAR(TODAY()),IF(E50="One-time","One-time","Custom"))))))))</x:f>
        <x:v>2026-05</x:v>
      </x:c>
      <x:c r="H50" t="n">
        <x:f>IF(A50="","",IF('Benefits Master'!M50&lt;&gt;"",'Benefits Master'!M50,IF('Benefits Master'!L50="End of Month",EOMONTH(TODAY(),0),IF('Benefits Master'!L50="End of Quarter",EOMONTH(DATE(YEAR(TODAY()),ROUNDUP(MONTH(TODAY())/3,0)*3,1),0),IF('Benefits Master'!L50="June 30",DATE(YEAR(TODAY()),6,30),IF('Benefits Master'!L50="Dec 31",DATE(YEAR(TODAY()),12,31),IF('Benefits Master'!L50="Card Anniversary","Enter open date",IF('Benefits Master'!L50="Specific Date","Set specific date",DATE(YEAR(TODAY()),12,31)))))))))</x:f>
        <x:v>46173</x:v>
      </x:c>
      <x:c r="I50" t="n">
        <x:f>IF(A50="","",'Benefits Master'!H50)</x:f>
        <x:v>10</x:v>
      </x:c>
      <x:c r="J50" t="n">
        <x:f>IF(A50="","",SUMIFS('Benefit Usage Log'!$H:$H,'Benefit Usage Log'!$E:$E,A50,'Benefit Usage Log'!$G:$G,G50))</x:f>
        <x:v>0</x:v>
      </x:c>
      <x:c r="K50" t="n">
        <x:f>IF(A50="","",MAX(0,I50-J50))</x:f>
        <x:v>10</x:v>
      </x:c>
      <x:c r="L50" t="n">
        <x:f>IF(A50="","",IF(I50=0,0,MIN(1,J50/I50)))</x:f>
        <x:v>0</x:v>
      </x:c>
      <x:c r="M50" t="str">
        <x:f>IF(A50="","",IF(ISNUMBER(H50)=FALSE,"Review Terms",IF(J50&gt;=I50,"Used",IF(AND(J50&gt;0,J50&lt;I50,H50&lt;TODAY()),"Missed",IF(AND(J50=0,H50&lt;TODAY()),"Missed",IF(AND(I50-J50&gt;0,H50-TODAY()&lt;='Benefits Master'!N50),"Expiring Soon",IF(J50&gt;0,"Partially Used","Not Used")))))))</x:f>
        <x:v>Not Used</x:v>
      </x:c>
      <x:c r="N50" t="n">
        <x:f>IF(A50="","",IF(ISNUMBER(H50),H50-TODAY(),""))</x:f>
        <x:v>29</x:v>
      </x:c>
      <x:c r="O50" t="str">
        <x:f>IF(A50="","",'Benefits Master'!P50)</x:f>
        <x:v>Low</x:v>
      </x:c>
      <x:c r="P50" t="str">
        <x:f>IF(A50="","",'Benefits Master'!Q50)</x:f>
        <x:v>No</x:v>
      </x:c>
      <x:c r="Q50" t="str">
        <x:f>IF(A50="","",'Benefits Master'!S50)</x:f>
        <x:v>Up to $10/month Peloton membership credit through 12/31/2027; turn on alert if relevant.</x:v>
      </x:c>
    </x:row>
    <x:row r="51">
      <x:c r="A51" t="str">
        <x:f>IF('Benefits Master'!A51="","",'Benefits Master'!A51)</x:f>
        <x:v>chase_sapphire_reserve_p2_doordash_monthly</x:v>
      </x:c>
      <x:c r="B51" t="str">
        <x:f>IF(A51="","",'Benefits Master'!B51)</x:f>
        <x:v>Person 2</x:v>
      </x:c>
      <x:c r="C51" t="str">
        <x:f>IF(A51="","",'Benefits Master'!D51)</x:f>
        <x:v>Chase Sapphire Reserve</x:v>
      </x:c>
      <x:c r="D51" t="str">
        <x:f>IF(A51="","",'Benefits Master'!E51)</x:f>
        <x:v>DoorDash Promos</x:v>
      </x:c>
      <x:c r="E51" t="str">
        <x:f>IF(A51="","",'Benefits Master'!J51)</x:f>
        <x:v>Monthly</x:v>
      </x:c>
      <x:c r="F51" t="str">
        <x:f>IF(A51="","",'Benefits Master'!K51)</x:f>
        <x:v>Calendar Month</x:v>
      </x:c>
      <x:c r="G51" t="str">
        <x:f>IF(A51="","",IF(F51="Jan-Jun",YEAR(TODAY())&amp;"-H1",IF(F51="Jul-Dec",YEAR(TODAY())&amp;"-H2",IF(E51="Monthly",TEXT(TODAY(),"yyyy-mm"),IF(E51="Quarterly",YEAR(TODAY())&amp;"-Q"&amp;ROUNDUP(MONTH(TODAY())/3,0),IF(E51="Semiannual",IF(MONTH(TODAY())&lt;=6,YEAR(TODAY())&amp;"-H1",YEAR(TODAY())&amp;"-H2"),IF(E51="Annual",YEAR(TODAY()),IF(E51="One-time","One-time","Custom"))))))))</x:f>
        <x:v>2026-05</x:v>
      </x:c>
      <x:c r="H51" t="n">
        <x:f>IF(A51="","",IF('Benefits Master'!M51&lt;&gt;"",'Benefits Master'!M51,IF('Benefits Master'!L51="End of Month",EOMONTH(TODAY(),0),IF('Benefits Master'!L51="End of Quarter",EOMONTH(DATE(YEAR(TODAY()),ROUNDUP(MONTH(TODAY())/3,0)*3,1),0),IF('Benefits Master'!L51="June 30",DATE(YEAR(TODAY()),6,30),IF('Benefits Master'!L51="Dec 31",DATE(YEAR(TODAY()),12,31),IF('Benefits Master'!L51="Card Anniversary","Enter open date",IF('Benefits Master'!L51="Specific Date","Set specific date",DATE(YEAR(TODAY()),12,31)))))))))</x:f>
        <x:v>46173</x:v>
      </x:c>
      <x:c r="I51" t="n">
        <x:f>IF(A51="","",'Benefits Master'!H51)</x:f>
        <x:v>25</x:v>
      </x:c>
      <x:c r="J51" t="n">
        <x:f>IF(A51="","",SUMIFS('Benefit Usage Log'!$H:$H,'Benefit Usage Log'!$E:$E,A51,'Benefit Usage Log'!$G:$G,G51))</x:f>
        <x:v>0</x:v>
      </x:c>
      <x:c r="K51" t="n">
        <x:f>IF(A51="","",MAX(0,I51-J51))</x:f>
        <x:v>25</x:v>
      </x:c>
      <x:c r="L51" t="n">
        <x:f>IF(A51="","",IF(I51=0,0,MIN(1,J51/I51)))</x:f>
        <x:v>0</x:v>
      </x:c>
      <x:c r="M51" t="str">
        <x:f>IF(A51="","",IF(ISNUMBER(H51)=FALSE,"Review Terms",IF(J51&gt;=I51,"Used",IF(AND(J51&gt;0,J51&lt;I51,H51&lt;TODAY()),"Missed",IF(AND(J51=0,H51&lt;TODAY()),"Missed",IF(AND(I51-J51&gt;0,H51-TODAY()&lt;='Benefits Master'!N51),"Expiring Soon",IF(J51&gt;0,"Partially Used","Not Used")))))))</x:f>
        <x:v>Not Used</x:v>
      </x:c>
      <x:c r="N51" t="n">
        <x:f>IF(A51="","",IF(ISNUMBER(H51),H51-TODAY(),""))</x:f>
        <x:v>29</x:v>
      </x:c>
      <x:c r="O51" t="str">
        <x:f>IF(A51="","",'Benefits Master'!P51)</x:f>
        <x:v>High</x:v>
      </x:c>
      <x:c r="P51" t="str">
        <x:f>IF(A51="","",'Benefits Master'!Q51)</x:f>
        <x:v>Yes</x:v>
      </x:c>
      <x:c r="Q51" t="str">
        <x:f>IF(A51="","",'Benefits Master'!S51)</x:f>
        <x:v>Chase advertises up to $300 in DoorDash promos annually; verify monthly split in app.</x:v>
      </x:c>
    </x:row>
    <x:row r="52">
      <x:c r="A52" t="str">
        <x:f>IF('Benefits Master'!A52="","",'Benefits Master'!A52)</x:f>
        <x:v>chase_sapphire_reserve_p2_the_edit_annual</x:v>
      </x:c>
      <x:c r="B52" t="str">
        <x:f>IF(A52="","",'Benefits Master'!B52)</x:f>
        <x:v>Person 2</x:v>
      </x:c>
      <x:c r="C52" t="str">
        <x:f>IF(A52="","",'Benefits Master'!D52)</x:f>
        <x:v>Chase Sapphire Reserve</x:v>
      </x:c>
      <x:c r="D52" t="str">
        <x:f>IF(A52="","",'Benefits Master'!E52)</x:f>
        <x:v>The Edit Hotel Credit</x:v>
      </x:c>
      <x:c r="E52" t="str">
        <x:f>IF(A52="","",'Benefits Master'!J52)</x:f>
        <x:v>Annual</x:v>
      </x:c>
      <x:c r="F52" t="str">
        <x:f>IF(A52="","",'Benefits Master'!K52)</x:f>
        <x:v>Calendar Year</x:v>
      </x:c>
      <x:c r="G52" t="n">
        <x:f>IF(A52="","",IF(F52="Jan-Jun",YEAR(TODAY())&amp;"-H1",IF(F52="Jul-Dec",YEAR(TODAY())&amp;"-H2",IF(E52="Monthly",TEXT(TODAY(),"yyyy-mm"),IF(E52="Quarterly",YEAR(TODAY())&amp;"-Q"&amp;ROUNDUP(MONTH(TODAY())/3,0),IF(E52="Semiannual",IF(MONTH(TODAY())&lt;=6,YEAR(TODAY())&amp;"-H1",YEAR(TODAY())&amp;"-H2"),IF(E52="Annual",YEAR(TODAY()),IF(E52="One-time","One-time","Custom"))))))))</x:f>
        <x:v>2026</x:v>
      </x:c>
      <x:c r="H52" t="n">
        <x:f>IF(A52="","",IF('Benefits Master'!M52&lt;&gt;"",'Benefits Master'!M52,IF('Benefits Master'!L52="End of Month",EOMONTH(TODAY(),0),IF('Benefits Master'!L52="End of Quarter",EOMONTH(DATE(YEAR(TODAY()),ROUNDUP(MONTH(TODAY())/3,0)*3,1),0),IF('Benefits Master'!L52="June 30",DATE(YEAR(TODAY()),6,30),IF('Benefits Master'!L52="Dec 31",DATE(YEAR(TODAY()),12,31),IF('Benefits Master'!L52="Card Anniversary","Enter open date",IF('Benefits Master'!L52="Specific Date","Set specific date",DATE(YEAR(TODAY()),12,31)))))))))</x:f>
        <x:v>46387</x:v>
      </x:c>
      <x:c r="I52" t="n">
        <x:f>IF(A52="","",'Benefits Master'!H52)</x:f>
        <x:v>500</x:v>
      </x:c>
      <x:c r="J52" t="n">
        <x:f>IF(A52="","",SUMIFS('Benefit Usage Log'!$H:$H,'Benefit Usage Log'!$E:$E,A52,'Benefit Usage Log'!$G:$G,G52))</x:f>
        <x:v>0</x:v>
      </x:c>
      <x:c r="K52" t="n">
        <x:f>IF(A52="","",MAX(0,I52-J52))</x:f>
        <x:v>500</x:v>
      </x:c>
      <x:c r="L52" t="n">
        <x:f>IF(A52="","",IF(I52=0,0,MIN(1,J52/I52)))</x:f>
        <x:v>0</x:v>
      </x:c>
      <x:c r="M52" t="str">
        <x:f>IF(A52="","",IF(ISNUMBER(H52)=FALSE,"Review Terms",IF(J52&gt;=I52,"Used",IF(AND(J52&gt;0,J52&lt;I52,H52&lt;TODAY()),"Missed",IF(AND(J52=0,H52&lt;TODAY()),"Missed",IF(AND(I52-J52&gt;0,H52-TODAY()&lt;='Benefits Master'!N52),"Expiring Soon",IF(J52&gt;0,"Partially Used","Not Used")))))))</x:f>
        <x:v>Not Used</x:v>
      </x:c>
      <x:c r="N52" t="n">
        <x:f>IF(A52="","",IF(ISNUMBER(H52),H52-TODAY(),""))</x:f>
        <x:v>243</x:v>
      </x:c>
      <x:c r="O52" t="str">
        <x:f>IF(A52="","",'Benefits Master'!P52)</x:f>
        <x:v>Medium</x:v>
      </x:c>
      <x:c r="P52" t="str">
        <x:f>IF(A52="","",'Benefits Master'!Q52)</x:f>
        <x:v>Yes</x:v>
      </x:c>
      <x:c r="Q52" t="str">
        <x:f>IF(A52="","",'Benefits Master'!S52)</x:f>
        <x:v>Up to $250 per prepaid booking, up to $500 annually; two-night minimum.</x:v>
      </x:c>
    </x:row>
    <x:row r="53">
      <x:c r="A53" t="str">
        <x:f>IF('Benefits Master'!A53="","",'Benefits Master'!A53)</x:f>
        <x:v>chase_sapphire_reserve_p2_select_hotel_2026</x:v>
      </x:c>
      <x:c r="B53" t="str">
        <x:f>IF(A53="","",'Benefits Master'!B53)</x:f>
        <x:v>Person 2</x:v>
      </x:c>
      <x:c r="C53" t="str">
        <x:f>IF(A53="","",'Benefits Master'!D53)</x:f>
        <x:v>Chase Sapphire Reserve</x:v>
      </x:c>
      <x:c r="D53" t="str">
        <x:f>IF(A53="","",'Benefits Master'!E53)</x:f>
        <x:v>2026 Select Chase Travel Hotel Credit</x:v>
      </x:c>
      <x:c r="E53" t="str">
        <x:f>IF(A53="","",'Benefits Master'!J53)</x:f>
        <x:v>One-time</x:v>
      </x:c>
      <x:c r="F53" t="str">
        <x:f>IF(A53="","",'Benefits Master'!K53)</x:f>
        <x:v>Specific Date Range</x:v>
      </x:c>
      <x:c r="G53" t="str">
        <x:f>IF(A53="","",IF(F53="Jan-Jun",YEAR(TODAY())&amp;"-H1",IF(F53="Jul-Dec",YEAR(TODAY())&amp;"-H2",IF(E53="Monthly",TEXT(TODAY(),"yyyy-mm"),IF(E53="Quarterly",YEAR(TODAY())&amp;"-Q"&amp;ROUNDUP(MONTH(TODAY())/3,0),IF(E53="Semiannual",IF(MONTH(TODAY())&lt;=6,YEAR(TODAY())&amp;"-H1",YEAR(TODAY())&amp;"-H2"),IF(E53="Annual",YEAR(TODAY()),IF(E53="One-time","One-time","Custom"))))))))</x:f>
        <x:v>One-time</x:v>
      </x:c>
      <x:c r="H53" t="n">
        <x:f>IF(A53="","",IF('Benefits Master'!M53&lt;&gt;"",'Benefits Master'!M53,IF('Benefits Master'!L53="End of Month",EOMONTH(TODAY(),0),IF('Benefits Master'!L53="End of Quarter",EOMONTH(DATE(YEAR(TODAY()),ROUNDUP(MONTH(TODAY())/3,0)*3,1),0),IF('Benefits Master'!L53="June 30",DATE(YEAR(TODAY()),6,30),IF('Benefits Master'!L53="Dec 31",DATE(YEAR(TODAY()),12,31),IF('Benefits Master'!L53="Card Anniversary","Enter open date",IF('Benefits Master'!L53="Specific Date","Set specific date",DATE(YEAR(TODAY()),12,31)))))))))</x:f>
        <x:v>46387</x:v>
      </x:c>
      <x:c r="I53" t="n">
        <x:f>IF(A53="","",'Benefits Master'!H53)</x:f>
        <x:v>250</x:v>
      </x:c>
      <x:c r="J53" t="n">
        <x:f>IF(A53="","",SUMIFS('Benefit Usage Log'!$H:$H,'Benefit Usage Log'!$E:$E,A53,'Benefit Usage Log'!$G:$G,G53))</x:f>
        <x:v>0</x:v>
      </x:c>
      <x:c r="K53" t="n">
        <x:f>IF(A53="","",MAX(0,I53-J53))</x:f>
        <x:v>250</x:v>
      </x:c>
      <x:c r="L53" t="n">
        <x:f>IF(A53="","",IF(I53=0,0,MIN(1,J53/I53)))</x:f>
        <x:v>0</x:v>
      </x:c>
      <x:c r="M53" t="str">
        <x:f>IF(A53="","",IF(ISNUMBER(H53)=FALSE,"Review Terms",IF(J53&gt;=I53,"Used",IF(AND(J53&gt;0,J53&lt;I53,H53&lt;TODAY()),"Missed",IF(AND(J53=0,H53&lt;TODAY()),"Missed",IF(AND(I53-J53&gt;0,H53-TODAY()&lt;='Benefits Master'!N53),"Expiring Soon",IF(J53&gt;0,"Partially Used","Not Used")))))))</x:f>
        <x:v>Not Used</x:v>
      </x:c>
      <x:c r="N53" t="n">
        <x:f>IF(A53="","",IF(ISNUMBER(H53),H53-TODAY(),""))</x:f>
        <x:v>243</x:v>
      </x:c>
      <x:c r="O53" t="str">
        <x:f>IF(A53="","",'Benefits Master'!P53)</x:f>
        <x:v>Medium</x:v>
      </x:c>
      <x:c r="P53" t="str">
        <x:f>IF(A53="","",'Benefits Master'!Q53)</x:f>
        <x:v>Yes</x:v>
      </x:c>
      <x:c r="Q53" t="str">
        <x:f>IF(A53="","",'Benefits Master'!S53)</x:f>
        <x:v>2026-only select Chase Travel hotel credit; two-night minimum; verify eligible brands.</x:v>
      </x:c>
    </x:row>
    <x:row r="54">
      <x:c r="A54" t="str">
        <x:f>IF('Benefits Master'!A54="","",'Benefits Master'!A54)</x:f>
        <x:v>chase_sapphire_reserve_p2_global_entry</x:v>
      </x:c>
      <x:c r="B54" t="str">
        <x:f>IF(A54="","",'Benefits Master'!B54)</x:f>
        <x:v>Person 2</x:v>
      </x:c>
      <x:c r="C54" t="str">
        <x:f>IF(A54="","",'Benefits Master'!D54)</x:f>
        <x:v>Chase Sapphire Reserve</x:v>
      </x:c>
      <x:c r="D54" t="str">
        <x:f>IF(A54="","",'Benefits Master'!E54)</x:f>
        <x:v>Global Entry / TSA PreCheck / NEXUS</x:v>
      </x:c>
      <x:c r="E54" t="str">
        <x:f>IF(A54="","",'Benefits Master'!J54)</x:f>
        <x:v>Custom</x:v>
      </x:c>
      <x:c r="F54" t="str">
        <x:f>IF(A54="","",'Benefits Master'!K54)</x:f>
        <x:v>Specific Date Range</x:v>
      </x:c>
      <x:c r="G54" t="str">
        <x:f>IF(A54="","",IF(F54="Jan-Jun",YEAR(TODAY())&amp;"-H1",IF(F54="Jul-Dec",YEAR(TODAY())&amp;"-H2",IF(E54="Monthly",TEXT(TODAY(),"yyyy-mm"),IF(E54="Quarterly",YEAR(TODAY())&amp;"-Q"&amp;ROUNDUP(MONTH(TODAY())/3,0),IF(E54="Semiannual",IF(MONTH(TODAY())&lt;=6,YEAR(TODAY())&amp;"-H1",YEAR(TODAY())&amp;"-H2"),IF(E54="Annual",YEAR(TODAY()),IF(E54="One-time","One-time","Custom"))))))))</x:f>
        <x:v>Custom</x:v>
      </x:c>
      <x:c r="H54" t="str">
        <x:f>IF(A54="","",IF('Benefits Master'!M54&lt;&gt;"",'Benefits Master'!M54,IF('Benefits Master'!L54="End of Month",EOMONTH(TODAY(),0),IF('Benefits Master'!L54="End of Quarter",EOMONTH(DATE(YEAR(TODAY()),ROUNDUP(MONTH(TODAY())/3,0)*3,1),0),IF('Benefits Master'!L54="June 30",DATE(YEAR(TODAY()),6,30),IF('Benefits Master'!L54="Dec 31",DATE(YEAR(TODAY()),12,31),IF('Benefits Master'!L54="Card Anniversary","Enter open date",IF('Benefits Master'!L54="Specific Date","Set specific date",DATE(YEAR(TODAY()),12,31)))))))))</x:f>
        <x:v>Set specific date</x:v>
      </x:c>
      <x:c r="I54" t="n">
        <x:f>IF(A54="","",'Benefits Master'!H54)</x:f>
        <x:v>120</x:v>
      </x:c>
      <x:c r="J54" t="n">
        <x:f>IF(A54="","",SUMIFS('Benefit Usage Log'!$H:$H,'Benefit Usage Log'!$E:$E,A54,'Benefit Usage Log'!$G:$G,G54))</x:f>
        <x:v>0</x:v>
      </x:c>
      <x:c r="K54" t="n">
        <x:f>IF(A54="","",MAX(0,I54-J54))</x:f>
        <x:v>120</x:v>
      </x:c>
      <x:c r="L54" t="n">
        <x:f>IF(A54="","",IF(I54=0,0,MIN(1,J54/I54)))</x:f>
        <x:v>0</x:v>
      </x:c>
      <x:c r="M54" t="str">
        <x:f>IF(A54="","",IF(ISNUMBER(H54)=FALSE,"Review Terms",IF(J54&gt;=I54,"Used",IF(AND(J54&gt;0,J54&lt;I54,H54&lt;TODAY()),"Missed",IF(AND(J54=0,H54&lt;TODAY()),"Missed",IF(AND(I54-J54&gt;0,H54-TODAY()&lt;='Benefits Master'!N54),"Expiring Soon",IF(J54&gt;0,"Partially Used","Not Used")))))))</x:f>
        <x:v>Review Terms</x:v>
      </x:c>
      <x:c r="N54" t="str">
        <x:f>IF(A54="","",IF(ISNUMBER(H54),H54-TODAY(),""))</x:f>
      </x:c>
      <x:c r="O54" t="str">
        <x:f>IF(A54="","",'Benefits Master'!P54)</x:f>
        <x:v>Low</x:v>
      </x:c>
      <x:c r="P54" t="str">
        <x:f>IF(A54="","",'Benefits Master'!Q54)</x:f>
        <x:v>No</x:v>
      </x:c>
      <x:c r="Q54" t="str">
        <x:f>IF(A54="","",'Benefits Master'!S54)</x:f>
        <x:v>Up to $120 every four years. Manually set expiry when due.</x:v>
      </x:c>
    </x:row>
    <x:row r="55">
      <x:c r="A55" t="str">
        <x:f>IF('Benefits Master'!A55="","",'Benefits Master'!A55)</x:f>
        <x:v>chase_united_quest_p1_united_travel_credit</x:v>
      </x:c>
      <x:c r="B55" t="str">
        <x:f>IF(A55="","",'Benefits Master'!B55)</x:f>
        <x:v>Person 1</x:v>
      </x:c>
      <x:c r="C55" t="str">
        <x:f>IF(A55="","",'Benefits Master'!D55)</x:f>
        <x:v>Chase United Quest</x:v>
      </x:c>
      <x:c r="D55" t="str">
        <x:f>IF(A55="","",'Benefits Master'!E55)</x:f>
        <x:v>United Travel Credit</x:v>
      </x:c>
      <x:c r="E55" t="str">
        <x:f>IF(A55="","",'Benefits Master'!J55)</x:f>
        <x:v>Annual</x:v>
      </x:c>
      <x:c r="F55" t="str">
        <x:f>IF(A55="","",'Benefits Master'!K55)</x:f>
        <x:v>Cardmember Year</x:v>
      </x:c>
      <x:c r="G55" t="n">
        <x:f>IF(A55="","",IF(F55="Jan-Jun",YEAR(TODAY())&amp;"-H1",IF(F55="Jul-Dec",YEAR(TODAY())&amp;"-H2",IF(E55="Monthly",TEXT(TODAY(),"yyyy-mm"),IF(E55="Quarterly",YEAR(TODAY())&amp;"-Q"&amp;ROUNDUP(MONTH(TODAY())/3,0),IF(E55="Semiannual",IF(MONTH(TODAY())&lt;=6,YEAR(TODAY())&amp;"-H1",YEAR(TODAY())&amp;"-H2"),IF(E55="Annual",YEAR(TODAY()),IF(E55="One-time","One-time","Custom"))))))))</x:f>
        <x:v>2026</x:v>
      </x:c>
      <x:c r="H55" t="str">
        <x:f>IF(A55="","",IF('Benefits Master'!M55&lt;&gt;"",'Benefits Master'!M55,IF('Benefits Master'!L55="End of Month",EOMONTH(TODAY(),0),IF('Benefits Master'!L55="End of Quarter",EOMONTH(DATE(YEAR(TODAY()),ROUNDUP(MONTH(TODAY())/3,0)*3,1),0),IF('Benefits Master'!L55="June 30",DATE(YEAR(TODAY()),6,30),IF('Benefits Master'!L55="Dec 31",DATE(YEAR(TODAY()),12,31),IF('Benefits Master'!L55="Card Anniversary","Enter open date",IF('Benefits Master'!L55="Specific Date","Set specific date",DATE(YEAR(TODAY()),12,31)))))))))</x:f>
        <x:v>Enter open date</x:v>
      </x:c>
      <x:c r="I55" t="n">
        <x:f>IF(A55="","",'Benefits Master'!H55)</x:f>
        <x:v>200</x:v>
      </x:c>
      <x:c r="J55" t="n">
        <x:f>IF(A55="","",SUMIFS('Benefit Usage Log'!$H:$H,'Benefit Usage Log'!$E:$E,A55,'Benefit Usage Log'!$G:$G,G55))</x:f>
        <x:v>0</x:v>
      </x:c>
      <x:c r="K55" t="n">
        <x:f>IF(A55="","",MAX(0,I55-J55))</x:f>
        <x:v>200</x:v>
      </x:c>
      <x:c r="L55" t="n">
        <x:f>IF(A55="","",IF(I55=0,0,MIN(1,J55/I55)))</x:f>
        <x:v>0</x:v>
      </x:c>
      <x:c r="M55" t="str">
        <x:f>IF(A55="","",IF(ISNUMBER(H55)=FALSE,"Review Terms",IF(J55&gt;=I55,"Used",IF(AND(J55&gt;0,J55&lt;I55,H55&lt;TODAY()),"Missed",IF(AND(J55=0,H55&lt;TODAY()),"Missed",IF(AND(I55-J55&gt;0,H55-TODAY()&lt;='Benefits Master'!N55),"Expiring Soon",IF(J55&gt;0,"Partially Used","Not Used")))))))</x:f>
        <x:v>Review Terms</x:v>
      </x:c>
      <x:c r="N55" t="str">
        <x:f>IF(A55="","",IF(ISNUMBER(H55),H55-TODAY(),""))</x:f>
      </x:c>
      <x:c r="O55" t="str">
        <x:f>IF(A55="","",'Benefits Master'!P55)</x:f>
        <x:v>High</x:v>
      </x:c>
      <x:c r="P55" t="str">
        <x:f>IF(A55="","",'Benefits Master'!Q55)</x:f>
        <x:v>Yes</x:v>
      </x:c>
      <x:c r="Q55" t="str">
        <x:f>IF(A55="","",'Benefits Master'!S55)</x:f>
        <x:v>Current Chase page advertises $200 United travel credit; verify account terms.</x:v>
      </x:c>
    </x:row>
    <x:row r="56">
      <x:c r="A56" t="str">
        <x:f>IF('Benefits Master'!A56="","",'Benefits Master'!A56)</x:f>
        <x:v>chase_united_quest_p1_rideshare_monthly</x:v>
      </x:c>
      <x:c r="B56" t="str">
        <x:f>IF(A56="","",'Benefits Master'!B56)</x:f>
        <x:v>Person 1</x:v>
      </x:c>
      <x:c r="C56" t="str">
        <x:f>IF(A56="","",'Benefits Master'!D56)</x:f>
        <x:v>Chase United Quest</x:v>
      </x:c>
      <x:c r="D56" t="str">
        <x:f>IF(A56="","",'Benefits Master'!E56)</x:f>
        <x:v>Rideshare Credit</x:v>
      </x:c>
      <x:c r="E56" t="str">
        <x:f>IF(A56="","",'Benefits Master'!J56)</x:f>
        <x:v>Monthly</x:v>
      </x:c>
      <x:c r="F56" t="str">
        <x:f>IF(A56="","",'Benefits Master'!K56)</x:f>
        <x:v>Calendar Month</x:v>
      </x:c>
      <x:c r="G56" t="str">
        <x:f>IF(A56="","",IF(F56="Jan-Jun",YEAR(TODAY())&amp;"-H1",IF(F56="Jul-Dec",YEAR(TODAY())&amp;"-H2",IF(E56="Monthly",TEXT(TODAY(),"yyyy-mm"),IF(E56="Quarterly",YEAR(TODAY())&amp;"-Q"&amp;ROUNDUP(MONTH(TODAY())/3,0),IF(E56="Semiannual",IF(MONTH(TODAY())&lt;=6,YEAR(TODAY())&amp;"-H1",YEAR(TODAY())&amp;"-H2"),IF(E56="Annual",YEAR(TODAY()),IF(E56="One-time","One-time","Custom"))))))))</x:f>
        <x:v>2026-05</x:v>
      </x:c>
      <x:c r="H56" t="n">
        <x:f>IF(A56="","",IF('Benefits Master'!M56&lt;&gt;"",'Benefits Master'!M56,IF('Benefits Master'!L56="End of Month",EOMONTH(TODAY(),0),IF('Benefits Master'!L56="End of Quarter",EOMONTH(DATE(YEAR(TODAY()),ROUNDUP(MONTH(TODAY())/3,0)*3,1),0),IF('Benefits Master'!L56="June 30",DATE(YEAR(TODAY()),6,30),IF('Benefits Master'!L56="Dec 31",DATE(YEAR(TODAY()),12,31),IF('Benefits Master'!L56="Card Anniversary","Enter open date",IF('Benefits Master'!L56="Specific Date","Set specific date",DATE(YEAR(TODAY()),12,31)))))))))</x:f>
        <x:v>46173</x:v>
      </x:c>
      <x:c r="I56" t="n">
        <x:f>IF(A56="","",'Benefits Master'!H56)</x:f>
        <x:v>8</x:v>
      </x:c>
      <x:c r="J56" t="n">
        <x:f>IF(A56="","",SUMIFS('Benefit Usage Log'!$H:$H,'Benefit Usage Log'!$E:$E,A56,'Benefit Usage Log'!$G:$G,G56))</x:f>
        <x:v>0</x:v>
      </x:c>
      <x:c r="K56" t="n">
        <x:f>IF(A56="","",MAX(0,I56-J56))</x:f>
        <x:v>8</x:v>
      </x:c>
      <x:c r="L56" t="n">
        <x:f>IF(A56="","",IF(I56=0,0,MIN(1,J56/I56)))</x:f>
        <x:v>0</x:v>
      </x:c>
      <x:c r="M56" t="str">
        <x:f>IF(A56="","",IF(ISNUMBER(H56)=FALSE,"Review Terms",IF(J56&gt;=I56,"Used",IF(AND(J56&gt;0,J56&lt;I56,H56&lt;TODAY()),"Missed",IF(AND(J56=0,H56&lt;TODAY()),"Missed",IF(AND(I56-J56&gt;0,H56-TODAY()&lt;='Benefits Master'!N56),"Expiring Soon",IF(J56&gt;0,"Partially Used","Not Used")))))))</x:f>
        <x:v>Not Used</x:v>
      </x:c>
      <x:c r="N56" t="n">
        <x:f>IF(A56="","",IF(ISNUMBER(H56),H56-TODAY(),""))</x:f>
        <x:v>29</x:v>
      </x:c>
      <x:c r="O56" t="str">
        <x:f>IF(A56="","",'Benefits Master'!P56)</x:f>
        <x:v>Medium</x:v>
      </x:c>
      <x:c r="P56" t="str">
        <x:f>IF(A56="","",'Benefits Master'!Q56)</x:f>
        <x:v>Yes</x:v>
      </x:c>
      <x:c r="Q56" t="str">
        <x:f>IF(A56="","",'Benefits Master'!S56)</x:f>
        <x:v>$8 Jan-Nov; December may be $12; yearly opt-in required.</x:v>
      </x:c>
    </x:row>
    <x:row r="57">
      <x:c r="A57" t="str">
        <x:f>IF('Benefits Master'!A57="","",'Benefits Master'!A57)</x:f>
        <x:v>chase_united_quest_p1_renowned_hotels</x:v>
      </x:c>
      <x:c r="B57" t="str">
        <x:f>IF(A57="","",'Benefits Master'!B57)</x:f>
        <x:v>Person 1</x:v>
      </x:c>
      <x:c r="C57" t="str">
        <x:f>IF(A57="","",'Benefits Master'!D57)</x:f>
        <x:v>Chase United Quest</x:v>
      </x:c>
      <x:c r="D57" t="str">
        <x:f>IF(A57="","",'Benefits Master'!E57)</x:f>
        <x:v>Renowned Hotels Credit</x:v>
      </x:c>
      <x:c r="E57" t="str">
        <x:f>IF(A57="","",'Benefits Master'!J57)</x:f>
        <x:v>Annual</x:v>
      </x:c>
      <x:c r="F57" t="str">
        <x:f>IF(A57="","",'Benefits Master'!K57)</x:f>
        <x:v>Cardmember Year</x:v>
      </x:c>
      <x:c r="G57" t="n">
        <x:f>IF(A57="","",IF(F57="Jan-Jun",YEAR(TODAY())&amp;"-H1",IF(F57="Jul-Dec",YEAR(TODAY())&amp;"-H2",IF(E57="Monthly",TEXT(TODAY(),"yyyy-mm"),IF(E57="Quarterly",YEAR(TODAY())&amp;"-Q"&amp;ROUNDUP(MONTH(TODAY())/3,0),IF(E57="Semiannual",IF(MONTH(TODAY())&lt;=6,YEAR(TODAY())&amp;"-H1",YEAR(TODAY())&amp;"-H2"),IF(E57="Annual",YEAR(TODAY()),IF(E57="One-time","One-time","Custom"))))))))</x:f>
        <x:v>2026</x:v>
      </x:c>
      <x:c r="H57" t="str">
        <x:f>IF(A57="","",IF('Benefits Master'!M57&lt;&gt;"",'Benefits Master'!M57,IF('Benefits Master'!L57="End of Month",EOMONTH(TODAY(),0),IF('Benefits Master'!L57="End of Quarter",EOMONTH(DATE(YEAR(TODAY()),ROUNDUP(MONTH(TODAY())/3,0)*3,1),0),IF('Benefits Master'!L57="June 30",DATE(YEAR(TODAY()),6,30),IF('Benefits Master'!L57="Dec 31",DATE(YEAR(TODAY()),12,31),IF('Benefits Master'!L57="Card Anniversary","Enter open date",IF('Benefits Master'!L57="Specific Date","Set specific date",DATE(YEAR(TODAY()),12,31)))))))))</x:f>
        <x:v>Enter open date</x:v>
      </x:c>
      <x:c r="I57" t="n">
        <x:f>IF(A57="","",'Benefits Master'!H57)</x:f>
        <x:v>150</x:v>
      </x:c>
      <x:c r="J57" t="n">
        <x:f>IF(A57="","",SUMIFS('Benefit Usage Log'!$H:$H,'Benefit Usage Log'!$E:$E,A57,'Benefit Usage Log'!$G:$G,G57))</x:f>
        <x:v>0</x:v>
      </x:c>
      <x:c r="K57" t="n">
        <x:f>IF(A57="","",MAX(0,I57-J57))</x:f>
        <x:v>150</x:v>
      </x:c>
      <x:c r="L57" t="n">
        <x:f>IF(A57="","",IF(I57=0,0,MIN(1,J57/I57)))</x:f>
        <x:v>0</x:v>
      </x:c>
      <x:c r="M57" t="str">
        <x:f>IF(A57="","",IF(ISNUMBER(H57)=FALSE,"Review Terms",IF(J57&gt;=I57,"Used",IF(AND(J57&gt;0,J57&lt;I57,H57&lt;TODAY()),"Missed",IF(AND(J57=0,H57&lt;TODAY()),"Missed",IF(AND(I57-J57&gt;0,H57-TODAY()&lt;='Benefits Master'!N57),"Expiring Soon",IF(J57&gt;0,"Partially Used","Not Used")))))))</x:f>
        <x:v>Review Terms</x:v>
      </x:c>
      <x:c r="N57" t="str">
        <x:f>IF(A57="","",IF(ISNUMBER(H57),H57-TODAY(),""))</x:f>
      </x:c>
      <x:c r="O57" t="str">
        <x:f>IF(A57="","",'Benefits Master'!P57)</x:f>
        <x:v>Medium</x:v>
      </x:c>
      <x:c r="P57" t="str">
        <x:f>IF(A57="","",'Benefits Master'!Q57)</x:f>
        <x:v>Yes</x:v>
      </x:c>
      <x:c r="Q57" t="str">
        <x:f>IF(A57="","",'Benefits Master'!S57)</x:f>
        <x:v>Up to $150 annually on prepaid Renowned Hotels and Resorts.</x:v>
      </x:c>
    </x:row>
    <x:row r="58">
      <x:c r="A58" t="str">
        <x:f>IF('Benefits Master'!A58="","",'Benefits Master'!A58)</x:f>
        <x:v>chase_united_quest_p1_jsx_credit</x:v>
      </x:c>
      <x:c r="B58" t="str">
        <x:f>IF(A58="","",'Benefits Master'!B58)</x:f>
        <x:v>Person 1</x:v>
      </x:c>
      <x:c r="C58" t="str">
        <x:f>IF(A58="","",'Benefits Master'!D58)</x:f>
        <x:v>Chase United Quest</x:v>
      </x:c>
      <x:c r="D58" t="str">
        <x:f>IF(A58="","",'Benefits Master'!E58)</x:f>
        <x:v>JSX Credit</x:v>
      </x:c>
      <x:c r="E58" t="str">
        <x:f>IF(A58="","",'Benefits Master'!J58)</x:f>
        <x:v>Annual</x:v>
      </x:c>
      <x:c r="F58" t="str">
        <x:f>IF(A58="","",'Benefits Master'!K58)</x:f>
        <x:v>Cardmember Year</x:v>
      </x:c>
      <x:c r="G58" t="n">
        <x:f>IF(A58="","",IF(F58="Jan-Jun",YEAR(TODAY())&amp;"-H1",IF(F58="Jul-Dec",YEAR(TODAY())&amp;"-H2",IF(E58="Monthly",TEXT(TODAY(),"yyyy-mm"),IF(E58="Quarterly",YEAR(TODAY())&amp;"-Q"&amp;ROUNDUP(MONTH(TODAY())/3,0),IF(E58="Semiannual",IF(MONTH(TODAY())&lt;=6,YEAR(TODAY())&amp;"-H1",YEAR(TODAY())&amp;"-H2"),IF(E58="Annual",YEAR(TODAY()),IF(E58="One-time","One-time","Custom"))))))))</x:f>
        <x:v>2026</x:v>
      </x:c>
      <x:c r="H58" t="str">
        <x:f>IF(A58="","",IF('Benefits Master'!M58&lt;&gt;"",'Benefits Master'!M58,IF('Benefits Master'!L58="End of Month",EOMONTH(TODAY(),0),IF('Benefits Master'!L58="End of Quarter",EOMONTH(DATE(YEAR(TODAY()),ROUNDUP(MONTH(TODAY())/3,0)*3,1),0),IF('Benefits Master'!L58="June 30",DATE(YEAR(TODAY()),6,30),IF('Benefits Master'!L58="Dec 31",DATE(YEAR(TODAY()),12,31),IF('Benefits Master'!L58="Card Anniversary","Enter open date",IF('Benefits Master'!L58="Specific Date","Set specific date",DATE(YEAR(TODAY()),12,31)))))))))</x:f>
        <x:v>Enter open date</x:v>
      </x:c>
      <x:c r="I58" t="n">
        <x:f>IF(A58="","",'Benefits Master'!H58)</x:f>
        <x:v>150</x:v>
      </x:c>
      <x:c r="J58" t="n">
        <x:f>IF(A58="","",SUMIFS('Benefit Usage Log'!$H:$H,'Benefit Usage Log'!$E:$E,A58,'Benefit Usage Log'!$G:$G,G58))</x:f>
        <x:v>0</x:v>
      </x:c>
      <x:c r="K58" t="n">
        <x:f>IF(A58="","",MAX(0,I58-J58))</x:f>
        <x:v>150</x:v>
      </x:c>
      <x:c r="L58" t="n">
        <x:f>IF(A58="","",IF(I58=0,0,MIN(1,J58/I58)))</x:f>
        <x:v>0</x:v>
      </x:c>
      <x:c r="M58" t="str">
        <x:f>IF(A58="","",IF(ISNUMBER(H58)=FALSE,"Review Terms",IF(J58&gt;=I58,"Used",IF(AND(J58&gt;0,J58&lt;I58,H58&lt;TODAY()),"Missed",IF(AND(J58=0,H58&lt;TODAY()),"Missed",IF(AND(I58-J58&gt;0,H58-TODAY()&lt;='Benefits Master'!N58),"Expiring Soon",IF(J58&gt;0,"Partially Used","Not Used")))))))</x:f>
        <x:v>Review Terms</x:v>
      </x:c>
      <x:c r="N58" t="str">
        <x:f>IF(A58="","",IF(ISNUMBER(H58),H58-TODAY(),""))</x:f>
      </x:c>
      <x:c r="O58" t="str">
        <x:f>IF(A58="","",'Benefits Master'!P58)</x:f>
        <x:v>Low</x:v>
      </x:c>
      <x:c r="P58" t="str">
        <x:f>IF(A58="","",'Benefits Master'!Q58)</x:f>
        <x:v>No</x:v>
      </x:c>
      <x:c r="Q58" t="str">
        <x:f>IF(A58="","",'Benefits Master'!S58)</x:f>
        <x:v>Track only if you use JSX.</x:v>
      </x:c>
    </x:row>
    <x:row r="59">
      <x:c r="A59" t="str">
        <x:f>IF('Benefits Master'!A59="","",'Benefits Master'!A59)</x:f>
        <x:v>chase_united_quest_p1_avis_budget</x:v>
      </x:c>
      <x:c r="B59" t="str">
        <x:f>IF(A59="","",'Benefits Master'!B59)</x:f>
        <x:v>Person 1</x:v>
      </x:c>
      <x:c r="C59" t="str">
        <x:f>IF(A59="","",'Benefits Master'!D59)</x:f>
        <x:v>Chase United Quest</x:v>
      </x:c>
      <x:c r="D59" t="str">
        <x:f>IF(A59="","",'Benefits Master'!E59)</x:f>
        <x:v>Avis / Budget United TravelBank Credit</x:v>
      </x:c>
      <x:c r="E59" t="str">
        <x:f>IF(A59="","",'Benefits Master'!J59)</x:f>
        <x:v>Annual</x:v>
      </x:c>
      <x:c r="F59" t="str">
        <x:f>IF(A59="","",'Benefits Master'!K59)</x:f>
        <x:v>Cardmember Year</x:v>
      </x:c>
      <x:c r="G59" t="n">
        <x:f>IF(A59="","",IF(F59="Jan-Jun",YEAR(TODAY())&amp;"-H1",IF(F59="Jul-Dec",YEAR(TODAY())&amp;"-H2",IF(E59="Monthly",TEXT(TODAY(),"yyyy-mm"),IF(E59="Quarterly",YEAR(TODAY())&amp;"-Q"&amp;ROUNDUP(MONTH(TODAY())/3,0),IF(E59="Semiannual",IF(MONTH(TODAY())&lt;=6,YEAR(TODAY())&amp;"-H1",YEAR(TODAY())&amp;"-H2"),IF(E59="Annual",YEAR(TODAY()),IF(E59="One-time","One-time","Custom"))))))))</x:f>
        <x:v>2026</x:v>
      </x:c>
      <x:c r="H59" t="str">
        <x:f>IF(A59="","",IF('Benefits Master'!M59&lt;&gt;"",'Benefits Master'!M59,IF('Benefits Master'!L59="End of Month",EOMONTH(TODAY(),0),IF('Benefits Master'!L59="End of Quarter",EOMONTH(DATE(YEAR(TODAY()),ROUNDUP(MONTH(TODAY())/3,0)*3,1),0),IF('Benefits Master'!L59="June 30",DATE(YEAR(TODAY()),6,30),IF('Benefits Master'!L59="Dec 31",DATE(YEAR(TODAY()),12,31),IF('Benefits Master'!L59="Card Anniversary","Enter open date",IF('Benefits Master'!L59="Specific Date","Set specific date",DATE(YEAR(TODAY()),12,31)))))))))</x:f>
        <x:v>Enter open date</x:v>
      </x:c>
      <x:c r="I59" t="n">
        <x:f>IF(A59="","",'Benefits Master'!H59)</x:f>
        <x:v>80</x:v>
      </x:c>
      <x:c r="J59" t="n">
        <x:f>IF(A59="","",SUMIFS('Benefit Usage Log'!$H:$H,'Benefit Usage Log'!$E:$E,A59,'Benefit Usage Log'!$G:$G,G59))</x:f>
        <x:v>0</x:v>
      </x:c>
      <x:c r="K59" t="n">
        <x:f>IF(A59="","",MAX(0,I59-J59))</x:f>
        <x:v>80</x:v>
      </x:c>
      <x:c r="L59" t="n">
        <x:f>IF(A59="","",IF(I59=0,0,MIN(1,J59/I59)))</x:f>
        <x:v>0</x:v>
      </x:c>
      <x:c r="M59" t="str">
        <x:f>IF(A59="","",IF(ISNUMBER(H59)=FALSE,"Review Terms",IF(J59&gt;=I59,"Used",IF(AND(J59&gt;0,J59&lt;I59,H59&lt;TODAY()),"Missed",IF(AND(J59=0,H59&lt;TODAY()),"Missed",IF(AND(I59-J59&gt;0,H59-TODAY()&lt;='Benefits Master'!N59),"Expiring Soon",IF(J59&gt;0,"Partially Used","Not Used")))))))</x:f>
        <x:v>Review Terms</x:v>
      </x:c>
      <x:c r="N59" t="str">
        <x:f>IF(A59="","",IF(ISNUMBER(H59),H59-TODAY(),""))</x:f>
      </x:c>
      <x:c r="O59" t="str">
        <x:f>IF(A59="","",'Benefits Master'!P59)</x:f>
        <x:v>Low</x:v>
      </x:c>
      <x:c r="P59" t="str">
        <x:f>IF(A59="","",'Benefits Master'!Q59)</x:f>
        <x:v>No</x:v>
      </x:c>
      <x:c r="Q59" t="str">
        <x:f>IF(A59="","",'Benefits Master'!S59)</x:f>
        <x:v>Up to two $40 United TravelBank credits for Avis/Budget rentals booked through United cars.</x:v>
      </x:c>
    </x:row>
    <x:row r="60">
      <x:c r="A60" t="str">
        <x:f>IF('Benefits Master'!A60="","",'Benefits Master'!A60)</x:f>
        <x:v>chase_united_quest_p1_global_entry</x:v>
      </x:c>
      <x:c r="B60" t="str">
        <x:f>IF(A60="","",'Benefits Master'!B60)</x:f>
        <x:v>Person 1</x:v>
      </x:c>
      <x:c r="C60" t="str">
        <x:f>IF(A60="","",'Benefits Master'!D60)</x:f>
        <x:v>Chase United Quest</x:v>
      </x:c>
      <x:c r="D60" t="str">
        <x:f>IF(A60="","",'Benefits Master'!E60)</x:f>
        <x:v>Global Entry / TSA PreCheck / NEXUS</x:v>
      </x:c>
      <x:c r="E60" t="str">
        <x:f>IF(A60="","",'Benefits Master'!J60)</x:f>
        <x:v>Custom</x:v>
      </x:c>
      <x:c r="F60" t="str">
        <x:f>IF(A60="","",'Benefits Master'!K60)</x:f>
        <x:v>Specific Date Range</x:v>
      </x:c>
      <x:c r="G60" t="str">
        <x:f>IF(A60="","",IF(F60="Jan-Jun",YEAR(TODAY())&amp;"-H1",IF(F60="Jul-Dec",YEAR(TODAY())&amp;"-H2",IF(E60="Monthly",TEXT(TODAY(),"yyyy-mm"),IF(E60="Quarterly",YEAR(TODAY())&amp;"-Q"&amp;ROUNDUP(MONTH(TODAY())/3,0),IF(E60="Semiannual",IF(MONTH(TODAY())&lt;=6,YEAR(TODAY())&amp;"-H1",YEAR(TODAY())&amp;"-H2"),IF(E60="Annual",YEAR(TODAY()),IF(E60="One-time","One-time","Custom"))))))))</x:f>
        <x:v>Custom</x:v>
      </x:c>
      <x:c r="H60" t="str">
        <x:f>IF(A60="","",IF('Benefits Master'!M60&lt;&gt;"",'Benefits Master'!M60,IF('Benefits Master'!L60="End of Month",EOMONTH(TODAY(),0),IF('Benefits Master'!L60="End of Quarter",EOMONTH(DATE(YEAR(TODAY()),ROUNDUP(MONTH(TODAY())/3,0)*3,1),0),IF('Benefits Master'!L60="June 30",DATE(YEAR(TODAY()),6,30),IF('Benefits Master'!L60="Dec 31",DATE(YEAR(TODAY()),12,31),IF('Benefits Master'!L60="Card Anniversary","Enter open date",IF('Benefits Master'!L60="Specific Date","Set specific date",DATE(YEAR(TODAY()),12,31)))))))))</x:f>
        <x:v>Set specific date</x:v>
      </x:c>
      <x:c r="I60" t="n">
        <x:f>IF(A60="","",'Benefits Master'!H60)</x:f>
        <x:v>120</x:v>
      </x:c>
      <x:c r="J60" t="n">
        <x:f>IF(A60="","",SUMIFS('Benefit Usage Log'!$H:$H,'Benefit Usage Log'!$E:$E,A60,'Benefit Usage Log'!$G:$G,G60))</x:f>
        <x:v>0</x:v>
      </x:c>
      <x:c r="K60" t="n">
        <x:f>IF(A60="","",MAX(0,I60-J60))</x:f>
        <x:v>120</x:v>
      </x:c>
      <x:c r="L60" t="n">
        <x:f>IF(A60="","",IF(I60=0,0,MIN(1,J60/I60)))</x:f>
        <x:v>0</x:v>
      </x:c>
      <x:c r="M60" t="str">
        <x:f>IF(A60="","",IF(ISNUMBER(H60)=FALSE,"Review Terms",IF(J60&gt;=I60,"Used",IF(AND(J60&gt;0,J60&lt;I60,H60&lt;TODAY()),"Missed",IF(AND(J60=0,H60&lt;TODAY()),"Missed",IF(AND(I60-J60&gt;0,H60-TODAY()&lt;='Benefits Master'!N60),"Expiring Soon",IF(J60&gt;0,"Partially Used","Not Used")))))))</x:f>
        <x:v>Review Terms</x:v>
      </x:c>
      <x:c r="N60" t="str">
        <x:f>IF(A60="","",IF(ISNUMBER(H60),H60-TODAY(),""))</x:f>
      </x:c>
      <x:c r="O60" t="str">
        <x:f>IF(A60="","",'Benefits Master'!P60)</x:f>
        <x:v>Low</x:v>
      </x:c>
      <x:c r="P60" t="str">
        <x:f>IF(A60="","",'Benefits Master'!Q60)</x:f>
        <x:v>No</x:v>
      </x:c>
      <x:c r="Q60" t="str">
        <x:f>IF(A60="","",'Benefits Master'!S60)</x:f>
        <x:v>Up to $120 every four years. Manually set expiry when due.</x:v>
      </x:c>
    </x:row>
    <x:row r="61">
      <x:c r="A61" t="str">
        <x:f>IF('Benefits Master'!A61="","",'Benefits Master'!A61)</x:f>
        <x:v>chase_marriott_boundless_p1_annual_free_night</x:v>
      </x:c>
      <x:c r="B61" t="str">
        <x:f>IF(A61="","",'Benefits Master'!B61)</x:f>
        <x:v>Person 1</x:v>
      </x:c>
      <x:c r="C61" t="str">
        <x:f>IF(A61="","",'Benefits Master'!D61)</x:f>
        <x:v>Chase Marriott Bonvoy Boundless (assumed)</x:v>
      </x:c>
      <x:c r="D61" t="str">
        <x:f>IF(A61="","",'Benefits Master'!E61)</x:f>
        <x:v>Annual Free Night Award</x:v>
      </x:c>
      <x:c r="E61" t="str">
        <x:f>IF(A61="","",'Benefits Master'!J61)</x:f>
        <x:v>Annual</x:v>
      </x:c>
      <x:c r="F61" t="str">
        <x:f>IF(A61="","",'Benefits Master'!K61)</x:f>
        <x:v>Cardmember Year</x:v>
      </x:c>
      <x:c r="G61" t="n">
        <x:f>IF(A61="","",IF(F61="Jan-Jun",YEAR(TODAY())&amp;"-H1",IF(F61="Jul-Dec",YEAR(TODAY())&amp;"-H2",IF(E61="Monthly",TEXT(TODAY(),"yyyy-mm"),IF(E61="Quarterly",YEAR(TODAY())&amp;"-Q"&amp;ROUNDUP(MONTH(TODAY())/3,0),IF(E61="Semiannual",IF(MONTH(TODAY())&lt;=6,YEAR(TODAY())&amp;"-H1",YEAR(TODAY())&amp;"-H2"),IF(E61="Annual",YEAR(TODAY()),IF(E61="One-time","One-time","Custom"))))))))</x:f>
        <x:v>2026</x:v>
      </x:c>
      <x:c r="H61" t="str">
        <x:f>IF(A61="","",IF('Benefits Master'!M61&lt;&gt;"",'Benefits Master'!M61,IF('Benefits Master'!L61="End of Month",EOMONTH(TODAY(),0),IF('Benefits Master'!L61="End of Quarter",EOMONTH(DATE(YEAR(TODAY()),ROUNDUP(MONTH(TODAY())/3,0)*3,1),0),IF('Benefits Master'!L61="June 30",DATE(YEAR(TODAY()),6,30),IF('Benefits Master'!L61="Dec 31",DATE(YEAR(TODAY()),12,31),IF('Benefits Master'!L61="Card Anniversary","Enter open date",IF('Benefits Master'!L61="Specific Date","Set specific date",DATE(YEAR(TODAY()),12,31)))))))))</x:f>
        <x:v>Enter open date</x:v>
      </x:c>
      <x:c r="I61" t="n">
        <x:f>IF(A61="","",'Benefits Master'!H61)</x:f>
        <x:v>250</x:v>
      </x:c>
      <x:c r="J61" t="n">
        <x:f>IF(A61="","",SUMIFS('Benefit Usage Log'!$H:$H,'Benefit Usage Log'!$E:$E,A61,'Benefit Usage Log'!$G:$G,G61))</x:f>
        <x:v>0</x:v>
      </x:c>
      <x:c r="K61" t="n">
        <x:f>IF(A61="","",MAX(0,I61-J61))</x:f>
        <x:v>250</x:v>
      </x:c>
      <x:c r="L61" t="n">
        <x:f>IF(A61="","",IF(I61=0,0,MIN(1,J61/I61)))</x:f>
        <x:v>0</x:v>
      </x:c>
      <x:c r="M61" t="str">
        <x:f>IF(A61="","",IF(ISNUMBER(H61)=FALSE,"Review Terms",IF(J61&gt;=I61,"Used",IF(AND(J61&gt;0,J61&lt;I61,H61&lt;TODAY()),"Missed",IF(AND(J61=0,H61&lt;TODAY()),"Missed",IF(AND(I61-J61&gt;0,H61-TODAY()&lt;='Benefits Master'!N61),"Expiring Soon",IF(J61&gt;0,"Partially Used","Not Used")))))))</x:f>
        <x:v>Review Terms</x:v>
      </x:c>
      <x:c r="N61" t="str">
        <x:f>IF(A61="","",IF(ISNUMBER(H61),H61-TODAY(),""))</x:f>
      </x:c>
      <x:c r="O61" t="str">
        <x:f>IF(A61="","",'Benefits Master'!P61)</x:f>
        <x:v>High</x:v>
      </x:c>
      <x:c r="P61" t="str">
        <x:f>IF(A61="","",'Benefits Master'!Q61)</x:f>
        <x:v>Yes</x:v>
      </x:c>
      <x:c r="Q61" t="str">
        <x:f>IF(A61="","",'Benefits Master'!S61)</x:f>
        <x:v>Annual free night after account anniversary, up to 35K points; assumed Boundless.</x:v>
      </x:c>
    </x:row>
    <x:row r="62">
      <x:c r="A62" t="str">
        <x:f>IF('Benefits Master'!A62="","",'Benefits Master'!A62)</x:f>
        <x:v>chase_marriott_boundless_p2_annual_free_night</x:v>
      </x:c>
      <x:c r="B62" t="str">
        <x:f>IF(A62="","",'Benefits Master'!B62)</x:f>
        <x:v>Person 2</x:v>
      </x:c>
      <x:c r="C62" t="str">
        <x:f>IF(A62="","",'Benefits Master'!D62)</x:f>
        <x:v>Chase Marriott Bonvoy Boundless (assumed)</x:v>
      </x:c>
      <x:c r="D62" t="str">
        <x:f>IF(A62="","",'Benefits Master'!E62)</x:f>
        <x:v>Annual Free Night Award</x:v>
      </x:c>
      <x:c r="E62" t="str">
        <x:f>IF(A62="","",'Benefits Master'!J62)</x:f>
        <x:v>Annual</x:v>
      </x:c>
      <x:c r="F62" t="str">
        <x:f>IF(A62="","",'Benefits Master'!K62)</x:f>
        <x:v>Cardmember Year</x:v>
      </x:c>
      <x:c r="G62" t="n">
        <x:f>IF(A62="","",IF(F62="Jan-Jun",YEAR(TODAY())&amp;"-H1",IF(F62="Jul-Dec",YEAR(TODAY())&amp;"-H2",IF(E62="Monthly",TEXT(TODAY(),"yyyy-mm"),IF(E62="Quarterly",YEAR(TODAY())&amp;"-Q"&amp;ROUNDUP(MONTH(TODAY())/3,0),IF(E62="Semiannual",IF(MONTH(TODAY())&lt;=6,YEAR(TODAY())&amp;"-H1",YEAR(TODAY())&amp;"-H2"),IF(E62="Annual",YEAR(TODAY()),IF(E62="One-time","One-time","Custom"))))))))</x:f>
        <x:v>2026</x:v>
      </x:c>
      <x:c r="H62" t="str">
        <x:f>IF(A62="","",IF('Benefits Master'!M62&lt;&gt;"",'Benefits Master'!M62,IF('Benefits Master'!L62="End of Month",EOMONTH(TODAY(),0),IF('Benefits Master'!L62="End of Quarter",EOMONTH(DATE(YEAR(TODAY()),ROUNDUP(MONTH(TODAY())/3,0)*3,1),0),IF('Benefits Master'!L62="June 30",DATE(YEAR(TODAY()),6,30),IF('Benefits Master'!L62="Dec 31",DATE(YEAR(TODAY()),12,31),IF('Benefits Master'!L62="Card Anniversary","Enter open date",IF('Benefits Master'!L62="Specific Date","Set specific date",DATE(YEAR(TODAY()),12,31)))))))))</x:f>
        <x:v>Enter open date</x:v>
      </x:c>
      <x:c r="I62" t="n">
        <x:f>IF(A62="","",'Benefits Master'!H62)</x:f>
        <x:v>250</x:v>
      </x:c>
      <x:c r="J62" t="n">
        <x:f>IF(A62="","",SUMIFS('Benefit Usage Log'!$H:$H,'Benefit Usage Log'!$E:$E,A62,'Benefit Usage Log'!$G:$G,G62))</x:f>
        <x:v>0</x:v>
      </x:c>
      <x:c r="K62" t="n">
        <x:f>IF(A62="","",MAX(0,I62-J62))</x:f>
        <x:v>250</x:v>
      </x:c>
      <x:c r="L62" t="n">
        <x:f>IF(A62="","",IF(I62=0,0,MIN(1,J62/I62)))</x:f>
        <x:v>0</x:v>
      </x:c>
      <x:c r="M62" t="str">
        <x:f>IF(A62="","",IF(ISNUMBER(H62)=FALSE,"Review Terms",IF(J62&gt;=I62,"Used",IF(AND(J62&gt;0,J62&lt;I62,H62&lt;TODAY()),"Missed",IF(AND(J62=0,H62&lt;TODAY()),"Missed",IF(AND(I62-J62&gt;0,H62-TODAY()&lt;='Benefits Master'!N62),"Expiring Soon",IF(J62&gt;0,"Partially Used","Not Used")))))))</x:f>
        <x:v>Review Terms</x:v>
      </x:c>
      <x:c r="N62" t="str">
        <x:f>IF(A62="","",IF(ISNUMBER(H62),H62-TODAY(),""))</x:f>
      </x:c>
      <x:c r="O62" t="str">
        <x:f>IF(A62="","",'Benefits Master'!P62)</x:f>
        <x:v>High</x:v>
      </x:c>
      <x:c r="P62" t="str">
        <x:f>IF(A62="","",'Benefits Master'!Q62)</x:f>
        <x:v>Yes</x:v>
      </x:c>
      <x:c r="Q62" t="str">
        <x:f>IF(A62="","",'Benefits Master'!S62)</x:f>
        <x:v>Annual free night after account anniversary, up to 35K points; assumed Boundless.</x:v>
      </x:c>
    </x:row>
    <x:row r="63">
      <x:c r="A63" t="str">
        <x:f>IF('Benefits Master'!A63="","",'Benefits Master'!A63)</x:f>
        <x:v>chase_hyatt_p1_annual_free_night</x:v>
      </x:c>
      <x:c r="B63" t="str">
        <x:f>IF(A63="","",'Benefits Master'!B63)</x:f>
        <x:v>Person 1</x:v>
      </x:c>
      <x:c r="C63" t="str">
        <x:f>IF(A63="","",'Benefits Master'!D63)</x:f>
        <x:v>World of Hyatt Credit Card</x:v>
      </x:c>
      <x:c r="D63" t="str">
        <x:f>IF(A63="","",'Benefits Master'!E63)</x:f>
        <x:v>Annual Category 1-4 Free Night</x:v>
      </x:c>
      <x:c r="E63" t="str">
        <x:f>IF(A63="","",'Benefits Master'!J63)</x:f>
        <x:v>Annual</x:v>
      </x:c>
      <x:c r="F63" t="str">
        <x:f>IF(A63="","",'Benefits Master'!K63)</x:f>
        <x:v>Cardmember Year</x:v>
      </x:c>
      <x:c r="G63" t="n">
        <x:f>IF(A63="","",IF(F63="Jan-Jun",YEAR(TODAY())&amp;"-H1",IF(F63="Jul-Dec",YEAR(TODAY())&amp;"-H2",IF(E63="Monthly",TEXT(TODAY(),"yyyy-mm"),IF(E63="Quarterly",YEAR(TODAY())&amp;"-Q"&amp;ROUNDUP(MONTH(TODAY())/3,0),IF(E63="Semiannual",IF(MONTH(TODAY())&lt;=6,YEAR(TODAY())&amp;"-H1",YEAR(TODAY())&amp;"-H2"),IF(E63="Annual",YEAR(TODAY()),IF(E63="One-time","One-time","Custom"))))))))</x:f>
        <x:v>2026</x:v>
      </x:c>
      <x:c r="H63" t="str">
        <x:f>IF(A63="","",IF('Benefits Master'!M63&lt;&gt;"",'Benefits Master'!M63,IF('Benefits Master'!L63="End of Month",EOMONTH(TODAY(),0),IF('Benefits Master'!L63="End of Quarter",EOMONTH(DATE(YEAR(TODAY()),ROUNDUP(MONTH(TODAY())/3,0)*3,1),0),IF('Benefits Master'!L63="June 30",DATE(YEAR(TODAY()),6,30),IF('Benefits Master'!L63="Dec 31",DATE(YEAR(TODAY()),12,31),IF('Benefits Master'!L63="Card Anniversary","Enter open date",IF('Benefits Master'!L63="Specific Date","Set specific date",DATE(YEAR(TODAY()),12,31)))))))))</x:f>
        <x:v>Enter open date</x:v>
      </x:c>
      <x:c r="I63" t="n">
        <x:f>IF(A63="","",'Benefits Master'!H63)</x:f>
        <x:v>250</x:v>
      </x:c>
      <x:c r="J63" t="n">
        <x:f>IF(A63="","",SUMIFS('Benefit Usage Log'!$H:$H,'Benefit Usage Log'!$E:$E,A63,'Benefit Usage Log'!$G:$G,G63))</x:f>
        <x:v>0</x:v>
      </x:c>
      <x:c r="K63" t="n">
        <x:f>IF(A63="","",MAX(0,I63-J63))</x:f>
        <x:v>250</x:v>
      </x:c>
      <x:c r="L63" t="n">
        <x:f>IF(A63="","",IF(I63=0,0,MIN(1,J63/I63)))</x:f>
        <x:v>0</x:v>
      </x:c>
      <x:c r="M63" t="str">
        <x:f>IF(A63="","",IF(ISNUMBER(H63)=FALSE,"Review Terms",IF(J63&gt;=I63,"Used",IF(AND(J63&gt;0,J63&lt;I63,H63&lt;TODAY()),"Missed",IF(AND(J63=0,H63&lt;TODAY()),"Missed",IF(AND(I63-J63&gt;0,H63-TODAY()&lt;='Benefits Master'!N63),"Expiring Soon",IF(J63&gt;0,"Partially Used","Not Used")))))))</x:f>
        <x:v>Review Terms</x:v>
      </x:c>
      <x:c r="N63" t="str">
        <x:f>IF(A63="","",IF(ISNUMBER(H63),H63-TODAY(),""))</x:f>
      </x:c>
      <x:c r="O63" t="str">
        <x:f>IF(A63="","",'Benefits Master'!P63)</x:f>
        <x:v>High</x:v>
      </x:c>
      <x:c r="P63" t="str">
        <x:f>IF(A63="","",'Benefits Master'!Q63)</x:f>
        <x:v>Yes</x:v>
      </x:c>
      <x:c r="Q63" t="str">
        <x:f>IF(A63="","",'Benefits Master'!S63)</x:f>
        <x:v>Free night at Category 1-4 Hyatt every year after cardmember anniversary.</x:v>
      </x:c>
    </x:row>
    <x:row r="64">
      <x:c r="A64" t="str">
        <x:f>IF('Benefits Master'!A64="","",'Benefits Master'!A64)</x:f>
        <x:v>chase_hyatt_p1_hyatt_statement_credit_1</x:v>
      </x:c>
      <x:c r="B64" t="str">
        <x:f>IF(A64="","",'Benefits Master'!B64)</x:f>
        <x:v>Person 1</x:v>
      </x:c>
      <x:c r="C64" t="str">
        <x:f>IF(A64="","",'Benefits Master'!D64)</x:f>
        <x:v>World of Hyatt Credit Card</x:v>
      </x:c>
      <x:c r="D64" t="str">
        <x:f>IF(A64="","",'Benefits Master'!E64)</x:f>
        <x:v>Hyatt Statement Credit 1</x:v>
      </x:c>
      <x:c r="E64" t="str">
        <x:f>IF(A64="","",'Benefits Master'!J64)</x:f>
        <x:v>Annual</x:v>
      </x:c>
      <x:c r="F64" t="str">
        <x:f>IF(A64="","",'Benefits Master'!K64)</x:f>
        <x:v>Cardmember Year</x:v>
      </x:c>
      <x:c r="G64" t="n">
        <x:f>IF(A64="","",IF(F64="Jan-Jun",YEAR(TODAY())&amp;"-H1",IF(F64="Jul-Dec",YEAR(TODAY())&amp;"-H2",IF(E64="Monthly",TEXT(TODAY(),"yyyy-mm"),IF(E64="Quarterly",YEAR(TODAY())&amp;"-Q"&amp;ROUNDUP(MONTH(TODAY())/3,0),IF(E64="Semiannual",IF(MONTH(TODAY())&lt;=6,YEAR(TODAY())&amp;"-H1",YEAR(TODAY())&amp;"-H2"),IF(E64="Annual",YEAR(TODAY()),IF(E64="One-time","One-time","Custom"))))))))</x:f>
        <x:v>2026</x:v>
      </x:c>
      <x:c r="H64" t="str">
        <x:f>IF(A64="","",IF('Benefits Master'!M64&lt;&gt;"",'Benefits Master'!M64,IF('Benefits Master'!L64="End of Month",EOMONTH(TODAY(),0),IF('Benefits Master'!L64="End of Quarter",EOMONTH(DATE(YEAR(TODAY()),ROUNDUP(MONTH(TODAY())/3,0)*3,1),0),IF('Benefits Master'!L64="June 30",DATE(YEAR(TODAY()),6,30),IF('Benefits Master'!L64="Dec 31",DATE(YEAR(TODAY()),12,31),IF('Benefits Master'!L64="Card Anniversary","Enter open date",IF('Benefits Master'!L64="Specific Date","Set specific date",DATE(YEAR(TODAY()),12,31)))))))))</x:f>
        <x:v>Enter open date</x:v>
      </x:c>
      <x:c r="I64" t="n">
        <x:f>IF(A64="","",'Benefits Master'!H64)</x:f>
        <x:v>50</x:v>
      </x:c>
      <x:c r="J64" t="n">
        <x:f>IF(A64="","",SUMIFS('Benefit Usage Log'!$H:$H,'Benefit Usage Log'!$E:$E,A64,'Benefit Usage Log'!$G:$G,G64))</x:f>
        <x:v>0</x:v>
      </x:c>
      <x:c r="K64" t="n">
        <x:f>IF(A64="","",MAX(0,I64-J64))</x:f>
        <x:v>50</x:v>
      </x:c>
      <x:c r="L64" t="n">
        <x:f>IF(A64="","",IF(I64=0,0,MIN(1,J64/I64)))</x:f>
        <x:v>0</x:v>
      </x:c>
      <x:c r="M64" t="str">
        <x:f>IF(A64="","",IF(ISNUMBER(H64)=FALSE,"Review Terms",IF(J64&gt;=I64,"Used",IF(AND(J64&gt;0,J64&lt;I64,H64&lt;TODAY()),"Missed",IF(AND(J64=0,H64&lt;TODAY()),"Missed",IF(AND(I64-J64&gt;0,H64-TODAY()&lt;='Benefits Master'!N64),"Expiring Soon",IF(J64&gt;0,"Partially Used","Not Used")))))))</x:f>
        <x:v>Review Terms</x:v>
      </x:c>
      <x:c r="N64" t="str">
        <x:f>IF(A64="","",IF(ISNUMBER(H64),H64-TODAY(),""))</x:f>
      </x:c>
      <x:c r="O64" t="str">
        <x:f>IF(A64="","",'Benefits Master'!P64)</x:f>
        <x:v>Medium</x:v>
      </x:c>
      <x:c r="P64" t="str">
        <x:f>IF(A64="","",'Benefits Master'!Q64)</x:f>
        <x:v>Yes</x:v>
      </x:c>
      <x:c r="Q64" t="str">
        <x:f>IF(A64="","",'Benefits Master'!S64)</x:f>
        <x:v>Earn $50 statement credit after $50+ at Hyatt, up to two times per anniversary year.</x:v>
      </x:c>
    </x:row>
    <x:row r="65">
      <x:c r="A65" t="str">
        <x:f>IF('Benefits Master'!A65="","",'Benefits Master'!A65)</x:f>
        <x:v>chase_hyatt_p1_hyatt_statement_credit_2</x:v>
      </x:c>
      <x:c r="B65" t="str">
        <x:f>IF(A65="","",'Benefits Master'!B65)</x:f>
        <x:v>Person 1</x:v>
      </x:c>
      <x:c r="C65" t="str">
        <x:f>IF(A65="","",'Benefits Master'!D65)</x:f>
        <x:v>World of Hyatt Credit Card</x:v>
      </x:c>
      <x:c r="D65" t="str">
        <x:f>IF(A65="","",'Benefits Master'!E65)</x:f>
        <x:v>Hyatt Statement Credit 2</x:v>
      </x:c>
      <x:c r="E65" t="str">
        <x:f>IF(A65="","",'Benefits Master'!J65)</x:f>
        <x:v>Annual</x:v>
      </x:c>
      <x:c r="F65" t="str">
        <x:f>IF(A65="","",'Benefits Master'!K65)</x:f>
        <x:v>Cardmember Year</x:v>
      </x:c>
      <x:c r="G65" t="n">
        <x:f>IF(A65="","",IF(F65="Jan-Jun",YEAR(TODAY())&amp;"-H1",IF(F65="Jul-Dec",YEAR(TODAY())&amp;"-H2",IF(E65="Monthly",TEXT(TODAY(),"yyyy-mm"),IF(E65="Quarterly",YEAR(TODAY())&amp;"-Q"&amp;ROUNDUP(MONTH(TODAY())/3,0),IF(E65="Semiannual",IF(MONTH(TODAY())&lt;=6,YEAR(TODAY())&amp;"-H1",YEAR(TODAY())&amp;"-H2"),IF(E65="Annual",YEAR(TODAY()),IF(E65="One-time","One-time","Custom"))))))))</x:f>
        <x:v>2026</x:v>
      </x:c>
      <x:c r="H65" t="str">
        <x:f>IF(A65="","",IF('Benefits Master'!M65&lt;&gt;"",'Benefits Master'!M65,IF('Benefits Master'!L65="End of Month",EOMONTH(TODAY(),0),IF('Benefits Master'!L65="End of Quarter",EOMONTH(DATE(YEAR(TODAY()),ROUNDUP(MONTH(TODAY())/3,0)*3,1),0),IF('Benefits Master'!L65="June 30",DATE(YEAR(TODAY()),6,30),IF('Benefits Master'!L65="Dec 31",DATE(YEAR(TODAY()),12,31),IF('Benefits Master'!L65="Card Anniversary","Enter open date",IF('Benefits Master'!L65="Specific Date","Set specific date",DATE(YEAR(TODAY()),12,31)))))))))</x:f>
        <x:v>Enter open date</x:v>
      </x:c>
      <x:c r="I65" t="n">
        <x:f>IF(A65="","",'Benefits Master'!H65)</x:f>
        <x:v>50</x:v>
      </x:c>
      <x:c r="J65" t="n">
        <x:f>IF(A65="","",SUMIFS('Benefit Usage Log'!$H:$H,'Benefit Usage Log'!$E:$E,A65,'Benefit Usage Log'!$G:$G,G65))</x:f>
        <x:v>0</x:v>
      </x:c>
      <x:c r="K65" t="n">
        <x:f>IF(A65="","",MAX(0,I65-J65))</x:f>
        <x:v>50</x:v>
      </x:c>
      <x:c r="L65" t="n">
        <x:f>IF(A65="","",IF(I65=0,0,MIN(1,J65/I65)))</x:f>
        <x:v>0</x:v>
      </x:c>
      <x:c r="M65" t="str">
        <x:f>IF(A65="","",IF(ISNUMBER(H65)=FALSE,"Review Terms",IF(J65&gt;=I65,"Used",IF(AND(J65&gt;0,J65&lt;I65,H65&lt;TODAY()),"Missed",IF(AND(J65=0,H65&lt;TODAY()),"Missed",IF(AND(I65-J65&gt;0,H65-TODAY()&lt;='Benefits Master'!N65),"Expiring Soon",IF(J65&gt;0,"Partially Used","Not Used")))))))</x:f>
        <x:v>Review Terms</x:v>
      </x:c>
      <x:c r="N65" t="str">
        <x:f>IF(A65="","",IF(ISNUMBER(H65),H65-TODAY(),""))</x:f>
      </x:c>
      <x:c r="O65" t="str">
        <x:f>IF(A65="","",'Benefits Master'!P65)</x:f>
        <x:v>Medium</x:v>
      </x:c>
      <x:c r="P65" t="str">
        <x:f>IF(A65="","",'Benefits Master'!Q65)</x:f>
        <x:v>Yes</x:v>
      </x:c>
      <x:c r="Q65" t="str">
        <x:f>IF(A65="","",'Benefits Master'!S65)</x:f>
        <x:v>Second $50 Hyatt statement credit.</x:v>
      </x:c>
    </x:row>
    <x:row r="66">
      <x:c r="A66" t="str">
        <x:f>IF('Benefits Master'!A66="","",'Benefits Master'!A66)</x:f>
        <x:v>chase_hyatt_p1_second_free_night_spend</x:v>
      </x:c>
      <x:c r="B66" t="str">
        <x:f>IF(A66="","",'Benefits Master'!B66)</x:f>
        <x:v>Person 1</x:v>
      </x:c>
      <x:c r="C66" t="str">
        <x:f>IF(A66="","",'Benefits Master'!D66)</x:f>
        <x:v>World of Hyatt Credit Card</x:v>
      </x:c>
      <x:c r="D66" t="str">
        <x:f>IF(A66="","",'Benefits Master'!E66)</x:f>
        <x:v>Second Free Night Spend Benefit</x:v>
      </x:c>
      <x:c r="E66" t="str">
        <x:f>IF(A66="","",'Benefits Master'!J66)</x:f>
        <x:v>Annual</x:v>
      </x:c>
      <x:c r="F66" t="str">
        <x:f>IF(A66="","",'Benefits Master'!K66)</x:f>
        <x:v>Calendar Year</x:v>
      </x:c>
      <x:c r="G66" t="n">
        <x:f>IF(A66="","",IF(F66="Jan-Jun",YEAR(TODAY())&amp;"-H1",IF(F66="Jul-Dec",YEAR(TODAY())&amp;"-H2",IF(E66="Monthly",TEXT(TODAY(),"yyyy-mm"),IF(E66="Quarterly",YEAR(TODAY())&amp;"-Q"&amp;ROUNDUP(MONTH(TODAY())/3,0),IF(E66="Semiannual",IF(MONTH(TODAY())&lt;=6,YEAR(TODAY())&amp;"-H1",YEAR(TODAY())&amp;"-H2"),IF(E66="Annual",YEAR(TODAY()),IF(E66="One-time","One-time","Custom"))))))))</x:f>
        <x:v>2026</x:v>
      </x:c>
      <x:c r="H66" t="n">
        <x:f>IF(A66="","",IF('Benefits Master'!M66&lt;&gt;"",'Benefits Master'!M66,IF('Benefits Master'!L66="End of Month",EOMONTH(TODAY(),0),IF('Benefits Master'!L66="End of Quarter",EOMONTH(DATE(YEAR(TODAY()),ROUNDUP(MONTH(TODAY())/3,0)*3,1),0),IF('Benefits Master'!L66="June 30",DATE(YEAR(TODAY()),6,30),IF('Benefits Master'!L66="Dec 31",DATE(YEAR(TODAY()),12,31),IF('Benefits Master'!L66="Card Anniversary","Enter open date",IF('Benefits Master'!L66="Specific Date","Set specific date",DATE(YEAR(TODAY()),12,31)))))))))</x:f>
        <x:v>46387</x:v>
      </x:c>
      <x:c r="I66" t="n">
        <x:f>IF(A66="","",'Benefits Master'!H66)</x:f>
        <x:v>250</x:v>
      </x:c>
      <x:c r="J66" t="n">
        <x:f>IF(A66="","",SUMIFS('Benefit Usage Log'!$H:$H,'Benefit Usage Log'!$E:$E,A66,'Benefit Usage Log'!$G:$G,G66))</x:f>
        <x:v>0</x:v>
      </x:c>
      <x:c r="K66" t="n">
        <x:f>IF(A66="","",MAX(0,I66-J66))</x:f>
        <x:v>250</x:v>
      </x:c>
      <x:c r="L66" t="n">
        <x:f>IF(A66="","",IF(I66=0,0,MIN(1,J66/I66)))</x:f>
        <x:v>0</x:v>
      </x:c>
      <x:c r="M66" t="str">
        <x:f>IF(A66="","",IF(ISNUMBER(H66)=FALSE,"Review Terms",IF(J66&gt;=I66,"Used",IF(AND(J66&gt;0,J66&lt;I66,H66&lt;TODAY()),"Missed",IF(AND(J66=0,H66&lt;TODAY()),"Missed",IF(AND(I66-J66&gt;0,H66-TODAY()&lt;='Benefits Master'!N66),"Expiring Soon",IF(J66&gt;0,"Partially Used","Not Used")))))))</x:f>
        <x:v>Not Used</x:v>
      </x:c>
      <x:c r="N66" t="n">
        <x:f>IF(A66="","",IF(ISNUMBER(H66),H66-TODAY(),""))</x:f>
        <x:v>243</x:v>
      </x:c>
      <x:c r="O66" t="str">
        <x:f>IF(A66="","",'Benefits Master'!P66)</x:f>
        <x:v>Low</x:v>
      </x:c>
      <x:c r="P66" t="str">
        <x:f>IF(A66="","",'Benefits Master'!Q66)</x:f>
        <x:v>No</x:v>
      </x:c>
      <x:c r="Q66" t="str">
        <x:f>IF(A66="","",'Benefits Master'!S66)</x:f>
        <x:v>Earn extra Category 1-4 free night after $15K spend in calendar year.</x:v>
      </x:c>
    </x:row>
    <x:row r="67">
      <x:c r="A67" t="str">
        <x:f>IF('Benefits Master'!A67="","",'Benefits Master'!A67)</x:f>
        <x:v>amex_hilton_p1_hilton_credit_quarterly</x:v>
      </x:c>
      <x:c r="B67" t="str">
        <x:f>IF(A67="","",'Benefits Master'!B67)</x:f>
        <x:v>Person 1</x:v>
      </x:c>
      <x:c r="C67" t="str">
        <x:f>IF(A67="","",'Benefits Master'!D67)</x:f>
        <x:v>Hilton Honors American Express Surpass (assumed)</x:v>
      </x:c>
      <x:c r="D67" t="str">
        <x:f>IF(A67="","",'Benefits Master'!E67)</x:f>
        <x:v>Quarterly Hilton Credit</x:v>
      </x:c>
      <x:c r="E67" t="str">
        <x:f>IF(A67="","",'Benefits Master'!J67)</x:f>
        <x:v>Quarterly</x:v>
      </x:c>
      <x:c r="F67" t="str">
        <x:f>IF(A67="","",'Benefits Master'!K67)</x:f>
        <x:v>Calendar Quarter</x:v>
      </x:c>
      <x:c r="G67" t="str">
        <x:f>IF(A67="","",IF(F67="Jan-Jun",YEAR(TODAY())&amp;"-H1",IF(F67="Jul-Dec",YEAR(TODAY())&amp;"-H2",IF(E67="Monthly",TEXT(TODAY(),"yyyy-mm"),IF(E67="Quarterly",YEAR(TODAY())&amp;"-Q"&amp;ROUNDUP(MONTH(TODAY())/3,0),IF(E67="Semiannual",IF(MONTH(TODAY())&lt;=6,YEAR(TODAY())&amp;"-H1",YEAR(TODAY())&amp;"-H2"),IF(E67="Annual",YEAR(TODAY()),IF(E67="One-time","One-time","Custom"))))))))</x:f>
        <x:v>2026-Q2</x:v>
      </x:c>
      <x:c r="H67" t="n">
        <x:f>IF(A67="","",IF('Benefits Master'!M67&lt;&gt;"",'Benefits Master'!M67,IF('Benefits Master'!L67="End of Month",EOMONTH(TODAY(),0),IF('Benefits Master'!L67="End of Quarter",EOMONTH(DATE(YEAR(TODAY()),ROUNDUP(MONTH(TODAY())/3,0)*3,1),0),IF('Benefits Master'!L67="June 30",DATE(YEAR(TODAY()),6,30),IF('Benefits Master'!L67="Dec 31",DATE(YEAR(TODAY()),12,31),IF('Benefits Master'!L67="Card Anniversary","Enter open date",IF('Benefits Master'!L67="Specific Date","Set specific date",DATE(YEAR(TODAY()),12,31)))))))))</x:f>
        <x:v>46203</x:v>
      </x:c>
      <x:c r="I67" t="n">
        <x:f>IF(A67="","",'Benefits Master'!H67)</x:f>
        <x:v>50</x:v>
      </x:c>
      <x:c r="J67" t="n">
        <x:f>IF(A67="","",SUMIFS('Benefit Usage Log'!$H:$H,'Benefit Usage Log'!$E:$E,A67,'Benefit Usage Log'!$G:$G,G67))</x:f>
        <x:v>0</x:v>
      </x:c>
      <x:c r="K67" t="n">
        <x:f>IF(A67="","",MAX(0,I67-J67))</x:f>
        <x:v>50</x:v>
      </x:c>
      <x:c r="L67" t="n">
        <x:f>IF(A67="","",IF(I67=0,0,MIN(1,J67/I67)))</x:f>
        <x:v>0</x:v>
      </x:c>
      <x:c r="M67" t="str">
        <x:f>IF(A67="","",IF(ISNUMBER(H67)=FALSE,"Review Terms",IF(J67&gt;=I67,"Used",IF(AND(J67&gt;0,J67&lt;I67,H67&lt;TODAY()),"Missed",IF(AND(J67=0,H67&lt;TODAY()),"Missed",IF(AND(I67-J67&gt;0,H67-TODAY()&lt;='Benefits Master'!N67),"Expiring Soon",IF(J67&gt;0,"Partially Used","Not Used")))))))</x:f>
        <x:v>Not Used</x:v>
      </x:c>
      <x:c r="N67" t="n">
        <x:f>IF(A67="","",IF(ISNUMBER(H67),H67-TODAY(),""))</x:f>
        <x:v>59</x:v>
      </x:c>
      <x:c r="O67" t="str">
        <x:f>IF(A67="","",'Benefits Master'!P67)</x:f>
        <x:v>High</x:v>
      </x:c>
      <x:c r="P67" t="str">
        <x:f>IF(A67="","",'Benefits Master'!Q67)</x:f>
        <x:v>Yes</x:v>
      </x:c>
      <x:c r="Q67" t="str">
        <x:f>IF(A67="","",'Benefits Master'!S67)</x:f>
        <x:v>Assumed Surpass: up to $50 per quarter at Hilton portfolio properties.</x:v>
      </x:c>
    </x:row>
    <x:row r="68">
      <x:c r="A68" t="str">
        <x:f>IF('Benefits Master'!A68="","",'Benefits Master'!A68)</x:f>
        <x:v>amex_hilton_p1_free_night_spend</x:v>
      </x:c>
      <x:c r="B68" t="str">
        <x:f>IF(A68="","",'Benefits Master'!B68)</x:f>
        <x:v>Person 1</x:v>
      </x:c>
      <x:c r="C68" t="str">
        <x:f>IF(A68="","",'Benefits Master'!D68)</x:f>
        <x:v>Hilton Honors American Express Surpass (assumed)</x:v>
      </x:c>
      <x:c r="D68" t="str">
        <x:f>IF(A68="","",'Benefits Master'!E68)</x:f>
        <x:v>Free Night after $15K Spend</x:v>
      </x:c>
      <x:c r="E68" t="str">
        <x:f>IF(A68="","",'Benefits Master'!J68)</x:f>
        <x:v>Annual</x:v>
      </x:c>
      <x:c r="F68" t="str">
        <x:f>IF(A68="","",'Benefits Master'!K68)</x:f>
        <x:v>Calendar Year</x:v>
      </x:c>
      <x:c r="G68" t="n">
        <x:f>IF(A68="","",IF(F68="Jan-Jun",YEAR(TODAY())&amp;"-H1",IF(F68="Jul-Dec",YEAR(TODAY())&amp;"-H2",IF(E68="Monthly",TEXT(TODAY(),"yyyy-mm"),IF(E68="Quarterly",YEAR(TODAY())&amp;"-Q"&amp;ROUNDUP(MONTH(TODAY())/3,0),IF(E68="Semiannual",IF(MONTH(TODAY())&lt;=6,YEAR(TODAY())&amp;"-H1",YEAR(TODAY())&amp;"-H2"),IF(E68="Annual",YEAR(TODAY()),IF(E68="One-time","One-time","Custom"))))))))</x:f>
        <x:v>2026</x:v>
      </x:c>
      <x:c r="H68" t="n">
        <x:f>IF(A68="","",IF('Benefits Master'!M68&lt;&gt;"",'Benefits Master'!M68,IF('Benefits Master'!L68="End of Month",EOMONTH(TODAY(),0),IF('Benefits Master'!L68="End of Quarter",EOMONTH(DATE(YEAR(TODAY()),ROUNDUP(MONTH(TODAY())/3,0)*3,1),0),IF('Benefits Master'!L68="June 30",DATE(YEAR(TODAY()),6,30),IF('Benefits Master'!L68="Dec 31",DATE(YEAR(TODAY()),12,31),IF('Benefits Master'!L68="Card Anniversary","Enter open date",IF('Benefits Master'!L68="Specific Date","Set specific date",DATE(YEAR(TODAY()),12,31)))))))))</x:f>
        <x:v>46387</x:v>
      </x:c>
      <x:c r="I68" t="n">
        <x:f>IF(A68="","",'Benefits Master'!H68)</x:f>
        <x:v>250</x:v>
      </x:c>
      <x:c r="J68" t="n">
        <x:f>IF(A68="","",SUMIFS('Benefit Usage Log'!$H:$H,'Benefit Usage Log'!$E:$E,A68,'Benefit Usage Log'!$G:$G,G68))</x:f>
        <x:v>0</x:v>
      </x:c>
      <x:c r="K68" t="n">
        <x:f>IF(A68="","",MAX(0,I68-J68))</x:f>
        <x:v>250</x:v>
      </x:c>
      <x:c r="L68" t="n">
        <x:f>IF(A68="","",IF(I68=0,0,MIN(1,J68/I68)))</x:f>
        <x:v>0</x:v>
      </x:c>
      <x:c r="M68" t="str">
        <x:f>IF(A68="","",IF(ISNUMBER(H68)=FALSE,"Review Terms",IF(J68&gt;=I68,"Used",IF(AND(J68&gt;0,J68&lt;I68,H68&lt;TODAY()),"Missed",IF(AND(J68=0,H68&lt;TODAY()),"Missed",IF(AND(I68-J68&gt;0,H68-TODAY()&lt;='Benefits Master'!N68),"Expiring Soon",IF(J68&gt;0,"Partially Used","Not Used")))))))</x:f>
        <x:v>Not Used</x:v>
      </x:c>
      <x:c r="N68" t="n">
        <x:f>IF(A68="","",IF(ISNUMBER(H68),H68-TODAY(),""))</x:f>
        <x:v>243</x:v>
      </x:c>
      <x:c r="O68" t="str">
        <x:f>IF(A68="","",'Benefits Master'!P68)</x:f>
        <x:v>Low</x:v>
      </x:c>
      <x:c r="P68" t="str">
        <x:f>IF(A68="","",'Benefits Master'!Q68)</x:f>
        <x:v>No</x:v>
      </x:c>
      <x:c r="Q68" t="str">
        <x:f>IF(A68="","",'Benefits Master'!S68)</x:f>
        <x:v>Assumed Surpass: earn Free Night Reward after $15K eligible spend in calendar year.</x:v>
      </x:c>
    </x:row>
    <x:row r="69">
      <x:c r="A69" t="str">
        <x:f>IF('Benefits Master'!A69="","",'Benefits Master'!A69)</x:f>
        <x:v>usbank_altitude_reserve_p1_annual_credit</x:v>
      </x:c>
      <x:c r="B69" t="str">
        <x:f>IF(A69="","",'Benefits Master'!B69)</x:f>
        <x:v>Person 1</x:v>
      </x:c>
      <x:c r="C69" t="str">
        <x:f>IF(A69="","",'Benefits Master'!D69)</x:f>
        <x:v>U.S. Bank Altitude Reserve Visa Infinite</x:v>
      </x:c>
      <x:c r="D69" t="str">
        <x:f>IF(A69="","",'Benefits Master'!E69)</x:f>
        <x:v>Annual Travel / Dining Credit</x:v>
      </x:c>
      <x:c r="E69" t="str">
        <x:f>IF(A69="","",'Benefits Master'!J69)</x:f>
        <x:v>Annual</x:v>
      </x:c>
      <x:c r="F69" t="str">
        <x:f>IF(A69="","",'Benefits Master'!K69)</x:f>
        <x:v>Cardmember Year</x:v>
      </x:c>
      <x:c r="G69" t="n">
        <x:f>IF(A69="","",IF(F69="Jan-Jun",YEAR(TODAY())&amp;"-H1",IF(F69="Jul-Dec",YEAR(TODAY())&amp;"-H2",IF(E69="Monthly",TEXT(TODAY(),"yyyy-mm"),IF(E69="Quarterly",YEAR(TODAY())&amp;"-Q"&amp;ROUNDUP(MONTH(TODAY())/3,0),IF(E69="Semiannual",IF(MONTH(TODAY())&lt;=6,YEAR(TODAY())&amp;"-H1",YEAR(TODAY())&amp;"-H2"),IF(E69="Annual",YEAR(TODAY()),IF(E69="One-time","One-time","Custom"))))))))</x:f>
        <x:v>2026</x:v>
      </x:c>
      <x:c r="H69" t="str">
        <x:f>IF(A69="","",IF('Benefits Master'!M69&lt;&gt;"",'Benefits Master'!M69,IF('Benefits Master'!L69="End of Month",EOMONTH(TODAY(),0),IF('Benefits Master'!L69="End of Quarter",EOMONTH(DATE(YEAR(TODAY()),ROUNDUP(MONTH(TODAY())/3,0)*3,1),0),IF('Benefits Master'!L69="June 30",DATE(YEAR(TODAY()),6,30),IF('Benefits Master'!L69="Dec 31",DATE(YEAR(TODAY()),12,31),IF('Benefits Master'!L69="Card Anniversary","Enter open date",IF('Benefits Master'!L69="Specific Date","Set specific date",DATE(YEAR(TODAY()),12,31)))))))))</x:f>
        <x:v>Enter open date</x:v>
      </x:c>
      <x:c r="I69" t="n">
        <x:f>IF(A69="","",'Benefits Master'!H69)</x:f>
        <x:v>325</x:v>
      </x:c>
      <x:c r="J69" t="n">
        <x:f>IF(A69="","",SUMIFS('Benefit Usage Log'!$H:$H,'Benefit Usage Log'!$E:$E,A69,'Benefit Usage Log'!$G:$G,G69))</x:f>
        <x:v>0</x:v>
      </x:c>
      <x:c r="K69" t="n">
        <x:f>IF(A69="","",MAX(0,I69-J69))</x:f>
        <x:v>325</x:v>
      </x:c>
      <x:c r="L69" t="n">
        <x:f>IF(A69="","",IF(I69=0,0,MIN(1,J69/I69)))</x:f>
        <x:v>0</x:v>
      </x:c>
      <x:c r="M69" t="str">
        <x:f>IF(A69="","",IF(ISNUMBER(H69)=FALSE,"Review Terms",IF(J69&gt;=I69,"Used",IF(AND(J69&gt;0,J69&lt;I69,H69&lt;TODAY()),"Missed",IF(AND(J69=0,H69&lt;TODAY()),"Missed",IF(AND(I69-J69&gt;0,H69-TODAY()&lt;='Benefits Master'!N69),"Expiring Soon",IF(J69&gt;0,"Partially Used","Not Used")))))))</x:f>
        <x:v>Review Terms</x:v>
      </x:c>
      <x:c r="N69" t="str">
        <x:f>IF(A69="","",IF(ISNUMBER(H69),H69-TODAY(),""))</x:f>
      </x:c>
      <x:c r="O69" t="str">
        <x:f>IF(A69="","",'Benefits Master'!P69)</x:f>
        <x:v>High</x:v>
      </x:c>
      <x:c r="P69" t="str">
        <x:f>IF(A69="","",'Benefits Master'!Q69)</x:f>
        <x:v>Yes</x:v>
      </x:c>
      <x:c r="Q69" t="str">
        <x:f>IF(A69="","",'Benefits Master'!S69)</x:f>
        <x:v>Official page lists $325 annual credit; terms may have changed for travel center eligibility.</x:v>
      </x:c>
    </x:row>
    <x:row r="70">
      <x:c r="A70" t="str">
        <x:f>IF('Benefits Master'!A70="","",'Benefits Master'!A70)</x:f>
        <x:v>usbank_altitude_reserve_p1_priority_pass</x:v>
      </x:c>
      <x:c r="B70" t="str">
        <x:f>IF(A70="","",'Benefits Master'!B70)</x:f>
        <x:v>Person 1</x:v>
      </x:c>
      <x:c r="C70" t="str">
        <x:f>IF(A70="","",'Benefits Master'!D70)</x:f>
        <x:v>U.S. Bank Altitude Reserve Visa Infinite</x:v>
      </x:c>
      <x:c r="D70" t="str">
        <x:f>IF(A70="","",'Benefits Master'!E70)</x:f>
        <x:v>Priority Pass Visits</x:v>
      </x:c>
      <x:c r="E70" t="str">
        <x:f>IF(A70="","",'Benefits Master'!J70)</x:f>
        <x:v>Annual</x:v>
      </x:c>
      <x:c r="F70" t="str">
        <x:f>IF(A70="","",'Benefits Master'!K70)</x:f>
        <x:v>Calendar Year</x:v>
      </x:c>
      <x:c r="G70" t="n">
        <x:f>IF(A70="","",IF(F70="Jan-Jun",YEAR(TODAY())&amp;"-H1",IF(F70="Jul-Dec",YEAR(TODAY())&amp;"-H2",IF(E70="Monthly",TEXT(TODAY(),"yyyy-mm"),IF(E70="Quarterly",YEAR(TODAY())&amp;"-Q"&amp;ROUNDUP(MONTH(TODAY())/3,0),IF(E70="Semiannual",IF(MONTH(TODAY())&lt;=6,YEAR(TODAY())&amp;"-H1",YEAR(TODAY())&amp;"-H2"),IF(E70="Annual",YEAR(TODAY()),IF(E70="One-time","One-time","Custom"))))))))</x:f>
        <x:v>2026</x:v>
      </x:c>
      <x:c r="H70" t="n">
        <x:f>IF(A70="","",IF('Benefits Master'!M70&lt;&gt;"",'Benefits Master'!M70,IF('Benefits Master'!L70="End of Month",EOMONTH(TODAY(),0),IF('Benefits Master'!L70="End of Quarter",EOMONTH(DATE(YEAR(TODAY()),ROUNDUP(MONTH(TODAY())/3,0)*3,1),0),IF('Benefits Master'!L70="June 30",DATE(YEAR(TODAY()),6,30),IF('Benefits Master'!L70="Dec 31",DATE(YEAR(TODAY()),12,31),IF('Benefits Master'!L70="Card Anniversary","Enter open date",IF('Benefits Master'!L70="Specific Date","Set specific date",DATE(YEAR(TODAY()),12,31)))))))))</x:f>
        <x:v>46387</x:v>
      </x:c>
      <x:c r="I70" t="n">
        <x:f>IF(A70="","",'Benefits Master'!H70)</x:f>
        <x:v>8</x:v>
      </x:c>
      <x:c r="J70" t="n">
        <x:f>IF(A70="","",SUMIFS('Benefit Usage Log'!$H:$H,'Benefit Usage Log'!$E:$E,A70,'Benefit Usage Log'!$G:$G,G70))</x:f>
        <x:v>0</x:v>
      </x:c>
      <x:c r="K70" t="n">
        <x:f>IF(A70="","",MAX(0,I70-J70))</x:f>
        <x:v>8</x:v>
      </x:c>
      <x:c r="L70" t="n">
        <x:f>IF(A70="","",IF(I70=0,0,MIN(1,J70/I70)))</x:f>
        <x:v>0</x:v>
      </x:c>
      <x:c r="M70" t="str">
        <x:f>IF(A70="","",IF(ISNUMBER(H70)=FALSE,"Review Terms",IF(J70&gt;=I70,"Used",IF(AND(J70&gt;0,J70&lt;I70,H70&lt;TODAY()),"Missed",IF(AND(J70=0,H70&lt;TODAY()),"Missed",IF(AND(I70-J70&gt;0,H70-TODAY()&lt;='Benefits Master'!N70),"Expiring Soon",IF(J70&gt;0,"Partially Used","Not Used")))))))</x:f>
        <x:v>Not Used</x:v>
      </x:c>
      <x:c r="N70" t="n">
        <x:f>IF(A70="","",IF(ISNUMBER(H70),H70-TODAY(),""))</x:f>
        <x:v>243</x:v>
      </x:c>
      <x:c r="O70" t="str">
        <x:f>IF(A70="","",'Benefits Master'!P70)</x:f>
        <x:v>Medium</x:v>
      </x:c>
      <x:c r="P70" t="str">
        <x:f>IF(A70="","",'Benefits Master'!Q70)</x:f>
        <x:v>Yes</x:v>
      </x:c>
      <x:c r="Q70" t="str">
        <x:f>IF(A70="","",'Benefits Master'!S70)</x:f>
        <x:v>Track as count: 8 visits per year if you use lounge access.</x:v>
      </x:c>
    </x:row>
    <x:row r="71">
      <x:c r="A71" t="str">
        <x:f>IF('Benefits Master'!A71="","",'Benefits Master'!A71)</x:f>
        <x:v>usbank_altitude_reserve_p1_global_entry</x:v>
      </x:c>
      <x:c r="B71" t="str">
        <x:f>IF(A71="","",'Benefits Master'!B71)</x:f>
        <x:v>Person 1</x:v>
      </x:c>
      <x:c r="C71" t="str">
        <x:f>IF(A71="","",'Benefits Master'!D71)</x:f>
        <x:v>U.S. Bank Altitude Reserve Visa Infinite</x:v>
      </x:c>
      <x:c r="D71" t="str">
        <x:f>IF(A71="","",'Benefits Master'!E71)</x:f>
        <x:v>Global Entry / TSA PreCheck</x:v>
      </x:c>
      <x:c r="E71" t="str">
        <x:f>IF(A71="","",'Benefits Master'!J71)</x:f>
        <x:v>Custom</x:v>
      </x:c>
      <x:c r="F71" t="str">
        <x:f>IF(A71="","",'Benefits Master'!K71)</x:f>
        <x:v>Specific Date Range</x:v>
      </x:c>
      <x:c r="G71" t="str">
        <x:f>IF(A71="","",IF(F71="Jan-Jun",YEAR(TODAY())&amp;"-H1",IF(F71="Jul-Dec",YEAR(TODAY())&amp;"-H2",IF(E71="Monthly",TEXT(TODAY(),"yyyy-mm"),IF(E71="Quarterly",YEAR(TODAY())&amp;"-Q"&amp;ROUNDUP(MONTH(TODAY())/3,0),IF(E71="Semiannual",IF(MONTH(TODAY())&lt;=6,YEAR(TODAY())&amp;"-H1",YEAR(TODAY())&amp;"-H2"),IF(E71="Annual",YEAR(TODAY()),IF(E71="One-time","One-time","Custom"))))))))</x:f>
        <x:v>Custom</x:v>
      </x:c>
      <x:c r="H71" t="str">
        <x:f>IF(A71="","",IF('Benefits Master'!M71&lt;&gt;"",'Benefits Master'!M71,IF('Benefits Master'!L71="End of Month",EOMONTH(TODAY(),0),IF('Benefits Master'!L71="End of Quarter",EOMONTH(DATE(YEAR(TODAY()),ROUNDUP(MONTH(TODAY())/3,0)*3,1),0),IF('Benefits Master'!L71="June 30",DATE(YEAR(TODAY()),6,30),IF('Benefits Master'!L71="Dec 31",DATE(YEAR(TODAY()),12,31),IF('Benefits Master'!L71="Card Anniversary","Enter open date",IF('Benefits Master'!L71="Specific Date","Set specific date",DATE(YEAR(TODAY()),12,31)))))))))</x:f>
        <x:v>Set specific date</x:v>
      </x:c>
      <x:c r="I71" t="n">
        <x:f>IF(A71="","",'Benefits Master'!H71)</x:f>
        <x:v>120</x:v>
      </x:c>
      <x:c r="J71" t="n">
        <x:f>IF(A71="","",SUMIFS('Benefit Usage Log'!$H:$H,'Benefit Usage Log'!$E:$E,A71,'Benefit Usage Log'!$G:$G,G71))</x:f>
        <x:v>0</x:v>
      </x:c>
      <x:c r="K71" t="n">
        <x:f>IF(A71="","",MAX(0,I71-J71))</x:f>
        <x:v>120</x:v>
      </x:c>
      <x:c r="L71" t="n">
        <x:f>IF(A71="","",IF(I71=0,0,MIN(1,J71/I71)))</x:f>
        <x:v>0</x:v>
      </x:c>
      <x:c r="M71" t="str">
        <x:f>IF(A71="","",IF(ISNUMBER(H71)=FALSE,"Review Terms",IF(J71&gt;=I71,"Used",IF(AND(J71&gt;0,J71&lt;I71,H71&lt;TODAY()),"Missed",IF(AND(J71=0,H71&lt;TODAY()),"Missed",IF(AND(I71-J71&gt;0,H71-TODAY()&lt;='Benefits Master'!N71),"Expiring Soon",IF(J71&gt;0,"Partially Used","Not Used")))))))</x:f>
        <x:v>Review Terms</x:v>
      </x:c>
      <x:c r="N71" t="str">
        <x:f>IF(A71="","",IF(ISNUMBER(H71),H71-TODAY(),""))</x:f>
      </x:c>
      <x:c r="O71" t="str">
        <x:f>IF(A71="","",'Benefits Master'!P71)</x:f>
        <x:v>Low</x:v>
      </x:c>
      <x:c r="P71" t="str">
        <x:f>IF(A71="","",'Benefits Master'!Q71)</x:f>
        <x:v>No</x:v>
      </x:c>
      <x:c r="Q71" t="str">
        <x:f>IF(A71="","",'Benefits Master'!S71)</x:f>
        <x:v>Up to one application fee credit; manually set expiry when due.</x:v>
      </x:c>
    </x:row>
    <x:row r="72">
      <x:c r="A72" t="str">
        <x:f>IF('Benefits Master'!A72="","",'Benefits Master'!A72)</x:f>
      </x:c>
      <x:c r="B72" t="str">
        <x:f>IF(A72="","",'Benefits Master'!B72)</x:f>
      </x:c>
      <x:c r="C72" t="str">
        <x:f>IF(A72="","",'Benefits Master'!D72)</x:f>
      </x:c>
      <x:c r="D72" t="str">
        <x:f>IF(A72="","",'Benefits Master'!E72)</x:f>
      </x:c>
      <x:c r="E72" t="str">
        <x:f>IF(A72="","",'Benefits Master'!J72)</x:f>
      </x:c>
      <x:c r="F72" t="str">
        <x:f>IF(A72="","",'Benefits Master'!K72)</x:f>
      </x:c>
      <x:c r="G72" t="str">
        <x:f>IF(A72="","",IF(F72="Jan-Jun",YEAR(TODAY())&amp;"-H1",IF(F72="Jul-Dec",YEAR(TODAY())&amp;"-H2",IF(E72="Monthly",TEXT(TODAY(),"yyyy-mm"),IF(E72="Quarterly",YEAR(TODAY())&amp;"-Q"&amp;ROUNDUP(MONTH(TODAY())/3,0),IF(E72="Semiannual",IF(MONTH(TODAY())&lt;=6,YEAR(TODAY())&amp;"-H1",YEAR(TODAY())&amp;"-H2"),IF(E72="Annual",YEAR(TODAY()),IF(E72="One-time","One-time","Custom"))))))))</x:f>
      </x:c>
      <x:c r="H72" t="str">
        <x:f>IF(A72="","",IF('Benefits Master'!M72&lt;&gt;"",'Benefits Master'!M72,IF('Benefits Master'!L72="End of Month",EOMONTH(TODAY(),0),IF('Benefits Master'!L72="End of Quarter",EOMONTH(DATE(YEAR(TODAY()),ROUNDUP(MONTH(TODAY())/3,0)*3,1),0),IF('Benefits Master'!L72="June 30",DATE(YEAR(TODAY()),6,30),IF('Benefits Master'!L72="Dec 31",DATE(YEAR(TODAY()),12,31),IF('Benefits Master'!L72="Card Anniversary","Enter open date",IF('Benefits Master'!L72="Specific Date","Set specific date",DATE(YEAR(TODAY()),12,31)))))))))</x:f>
      </x:c>
      <x:c r="I72" t="str">
        <x:f>IF(A72="","",'Benefits Master'!H72)</x:f>
      </x:c>
      <x:c r="J72" t="str">
        <x:f>IF(A72="","",SUMIFS('Benefit Usage Log'!$H:$H,'Benefit Usage Log'!$E:$E,A72,'Benefit Usage Log'!$G:$G,G72))</x:f>
      </x:c>
      <x:c r="K72" t="str">
        <x:f>IF(A72="","",MAX(0,I72-J72))</x:f>
      </x:c>
      <x:c r="L72" t="str">
        <x:f>IF(A72="","",IF(I72=0,0,MIN(1,J72/I72)))</x:f>
      </x:c>
      <x:c r="M72" t="str">
        <x:f>IF(A72="","",IF(ISNUMBER(H72)=FALSE,"Review Terms",IF(J72&gt;=I72,"Used",IF(AND(J72&gt;0,J72&lt;I72,H72&lt;TODAY()),"Missed",IF(AND(J72=0,H72&lt;TODAY()),"Missed",IF(AND(I72-J72&gt;0,H72-TODAY()&lt;='Benefits Master'!N72),"Expiring Soon",IF(J72&gt;0,"Partially Used","Not Used")))))))</x:f>
      </x:c>
      <x:c r="N72" t="str">
        <x:f>IF(A72="","",IF(ISNUMBER(H72),H72-TODAY(),""))</x:f>
      </x:c>
      <x:c r="O72" t="str">
        <x:f>IF(A72="","",'Benefits Master'!P72)</x:f>
      </x:c>
      <x:c r="P72" t="str">
        <x:f>IF(A72="","",'Benefits Master'!Q72)</x:f>
      </x:c>
      <x:c r="Q72" t="str">
        <x:f>IF(A72="","",'Benefits Master'!S72)</x:f>
      </x:c>
    </x:row>
    <x:row r="73">
      <x:c r="A73" t="str">
        <x:f>IF('Benefits Master'!A73="","",'Benefits Master'!A73)</x:f>
      </x:c>
      <x:c r="B73" t="str">
        <x:f>IF(A73="","",'Benefits Master'!B73)</x:f>
      </x:c>
      <x:c r="C73" t="str">
        <x:f>IF(A73="","",'Benefits Master'!D73)</x:f>
      </x:c>
      <x:c r="D73" t="str">
        <x:f>IF(A73="","",'Benefits Master'!E73)</x:f>
      </x:c>
      <x:c r="E73" t="str">
        <x:f>IF(A73="","",'Benefits Master'!J73)</x:f>
      </x:c>
      <x:c r="F73" t="str">
        <x:f>IF(A73="","",'Benefits Master'!K73)</x:f>
      </x:c>
      <x:c r="G73" t="str">
        <x:f>IF(A73="","",IF(F73="Jan-Jun",YEAR(TODAY())&amp;"-H1",IF(F73="Jul-Dec",YEAR(TODAY())&amp;"-H2",IF(E73="Monthly",TEXT(TODAY(),"yyyy-mm"),IF(E73="Quarterly",YEAR(TODAY())&amp;"-Q"&amp;ROUNDUP(MONTH(TODAY())/3,0),IF(E73="Semiannual",IF(MONTH(TODAY())&lt;=6,YEAR(TODAY())&amp;"-H1",YEAR(TODAY())&amp;"-H2"),IF(E73="Annual",YEAR(TODAY()),IF(E73="One-time","One-time","Custom"))))))))</x:f>
      </x:c>
      <x:c r="H73" t="str">
        <x:f>IF(A73="","",IF('Benefits Master'!M73&lt;&gt;"",'Benefits Master'!M73,IF('Benefits Master'!L73="End of Month",EOMONTH(TODAY(),0),IF('Benefits Master'!L73="End of Quarter",EOMONTH(DATE(YEAR(TODAY()),ROUNDUP(MONTH(TODAY())/3,0)*3,1),0),IF('Benefits Master'!L73="June 30",DATE(YEAR(TODAY()),6,30),IF('Benefits Master'!L73="Dec 31",DATE(YEAR(TODAY()),12,31),IF('Benefits Master'!L73="Card Anniversary","Enter open date",IF('Benefits Master'!L73="Specific Date","Set specific date",DATE(YEAR(TODAY()),12,31)))))))))</x:f>
      </x:c>
      <x:c r="I73" t="str">
        <x:f>IF(A73="","",'Benefits Master'!H73)</x:f>
      </x:c>
      <x:c r="J73" t="str">
        <x:f>IF(A73="","",SUMIFS('Benefit Usage Log'!$H:$H,'Benefit Usage Log'!$E:$E,A73,'Benefit Usage Log'!$G:$G,G73))</x:f>
      </x:c>
      <x:c r="K73" t="str">
        <x:f>IF(A73="","",MAX(0,I73-J73))</x:f>
      </x:c>
      <x:c r="L73" t="str">
        <x:f>IF(A73="","",IF(I73=0,0,MIN(1,J73/I73)))</x:f>
      </x:c>
      <x:c r="M73" t="str">
        <x:f>IF(A73="","",IF(ISNUMBER(H73)=FALSE,"Review Terms",IF(J73&gt;=I73,"Used",IF(AND(J73&gt;0,J73&lt;I73,H73&lt;TODAY()),"Missed",IF(AND(J73=0,H73&lt;TODAY()),"Missed",IF(AND(I73-J73&gt;0,H73-TODAY()&lt;='Benefits Master'!N73),"Expiring Soon",IF(J73&gt;0,"Partially Used","Not Used")))))))</x:f>
      </x:c>
      <x:c r="N73" t="str">
        <x:f>IF(A73="","",IF(ISNUMBER(H73),H73-TODAY(),""))</x:f>
      </x:c>
      <x:c r="O73" t="str">
        <x:f>IF(A73="","",'Benefits Master'!P73)</x:f>
      </x:c>
      <x:c r="P73" t="str">
        <x:f>IF(A73="","",'Benefits Master'!Q73)</x:f>
      </x:c>
      <x:c r="Q73" t="str">
        <x:f>IF(A73="","",'Benefits Master'!S73)</x:f>
      </x:c>
    </x:row>
    <x:row r="74">
      <x:c r="A74" t="str">
        <x:f>IF('Benefits Master'!A74="","",'Benefits Master'!A74)</x:f>
      </x:c>
      <x:c r="B74" t="str">
        <x:f>IF(A74="","",'Benefits Master'!B74)</x:f>
      </x:c>
      <x:c r="C74" t="str">
        <x:f>IF(A74="","",'Benefits Master'!D74)</x:f>
      </x:c>
      <x:c r="D74" t="str">
        <x:f>IF(A74="","",'Benefits Master'!E74)</x:f>
      </x:c>
      <x:c r="E74" t="str">
        <x:f>IF(A74="","",'Benefits Master'!J74)</x:f>
      </x:c>
      <x:c r="F74" t="str">
        <x:f>IF(A74="","",'Benefits Master'!K74)</x:f>
      </x:c>
      <x:c r="G74" t="str">
        <x:f>IF(A74="","",IF(F74="Jan-Jun",YEAR(TODAY())&amp;"-H1",IF(F74="Jul-Dec",YEAR(TODAY())&amp;"-H2",IF(E74="Monthly",TEXT(TODAY(),"yyyy-mm"),IF(E74="Quarterly",YEAR(TODAY())&amp;"-Q"&amp;ROUNDUP(MONTH(TODAY())/3,0),IF(E74="Semiannual",IF(MONTH(TODAY())&lt;=6,YEAR(TODAY())&amp;"-H1",YEAR(TODAY())&amp;"-H2"),IF(E74="Annual",YEAR(TODAY()),IF(E74="One-time","One-time","Custom"))))))))</x:f>
      </x:c>
      <x:c r="H74" t="str">
        <x:f>IF(A74="","",IF('Benefits Master'!M74&lt;&gt;"",'Benefits Master'!M74,IF('Benefits Master'!L74="End of Month",EOMONTH(TODAY(),0),IF('Benefits Master'!L74="End of Quarter",EOMONTH(DATE(YEAR(TODAY()),ROUNDUP(MONTH(TODAY())/3,0)*3,1),0),IF('Benefits Master'!L74="June 30",DATE(YEAR(TODAY()),6,30),IF('Benefits Master'!L74="Dec 31",DATE(YEAR(TODAY()),12,31),IF('Benefits Master'!L74="Card Anniversary","Enter open date",IF('Benefits Master'!L74="Specific Date","Set specific date",DATE(YEAR(TODAY()),12,31)))))))))</x:f>
      </x:c>
      <x:c r="I74" t="str">
        <x:f>IF(A74="","",'Benefits Master'!H74)</x:f>
      </x:c>
      <x:c r="J74" t="str">
        <x:f>IF(A74="","",SUMIFS('Benefit Usage Log'!$H:$H,'Benefit Usage Log'!$E:$E,A74,'Benefit Usage Log'!$G:$G,G74))</x:f>
      </x:c>
      <x:c r="K74" t="str">
        <x:f>IF(A74="","",MAX(0,I74-J74))</x:f>
      </x:c>
      <x:c r="L74" t="str">
        <x:f>IF(A74="","",IF(I74=0,0,MIN(1,J74/I74)))</x:f>
      </x:c>
      <x:c r="M74" t="str">
        <x:f>IF(A74="","",IF(ISNUMBER(H74)=FALSE,"Review Terms",IF(J74&gt;=I74,"Used",IF(AND(J74&gt;0,J74&lt;I74,H74&lt;TODAY()),"Missed",IF(AND(J74=0,H74&lt;TODAY()),"Missed",IF(AND(I74-J74&gt;0,H74-TODAY()&lt;='Benefits Master'!N74),"Expiring Soon",IF(J74&gt;0,"Partially Used","Not Used")))))))</x:f>
      </x:c>
      <x:c r="N74" t="str">
        <x:f>IF(A74="","",IF(ISNUMBER(H74),H74-TODAY(),""))</x:f>
      </x:c>
      <x:c r="O74" t="str">
        <x:f>IF(A74="","",'Benefits Master'!P74)</x:f>
      </x:c>
      <x:c r="P74" t="str">
        <x:f>IF(A74="","",'Benefits Master'!Q74)</x:f>
      </x:c>
      <x:c r="Q74" t="str">
        <x:f>IF(A74="","",'Benefits Master'!S74)</x:f>
      </x:c>
    </x:row>
    <x:row r="75">
      <x:c r="A75" t="str">
        <x:f>IF('Benefits Master'!A75="","",'Benefits Master'!A75)</x:f>
      </x:c>
      <x:c r="B75" t="str">
        <x:f>IF(A75="","",'Benefits Master'!B75)</x:f>
      </x:c>
      <x:c r="C75" t="str">
        <x:f>IF(A75="","",'Benefits Master'!D75)</x:f>
      </x:c>
      <x:c r="D75" t="str">
        <x:f>IF(A75="","",'Benefits Master'!E75)</x:f>
      </x:c>
      <x:c r="E75" t="str">
        <x:f>IF(A75="","",'Benefits Master'!J75)</x:f>
      </x:c>
      <x:c r="F75" t="str">
        <x:f>IF(A75="","",'Benefits Master'!K75)</x:f>
      </x:c>
      <x:c r="G75" t="str">
        <x:f>IF(A75="","",IF(F75="Jan-Jun",YEAR(TODAY())&amp;"-H1",IF(F75="Jul-Dec",YEAR(TODAY())&amp;"-H2",IF(E75="Monthly",TEXT(TODAY(),"yyyy-mm"),IF(E75="Quarterly",YEAR(TODAY())&amp;"-Q"&amp;ROUNDUP(MONTH(TODAY())/3,0),IF(E75="Semiannual",IF(MONTH(TODAY())&lt;=6,YEAR(TODAY())&amp;"-H1",YEAR(TODAY())&amp;"-H2"),IF(E75="Annual",YEAR(TODAY()),IF(E75="One-time","One-time","Custom"))))))))</x:f>
      </x:c>
      <x:c r="H75" t="str">
        <x:f>IF(A75="","",IF('Benefits Master'!M75&lt;&gt;"",'Benefits Master'!M75,IF('Benefits Master'!L75="End of Month",EOMONTH(TODAY(),0),IF('Benefits Master'!L75="End of Quarter",EOMONTH(DATE(YEAR(TODAY()),ROUNDUP(MONTH(TODAY())/3,0)*3,1),0),IF('Benefits Master'!L75="June 30",DATE(YEAR(TODAY()),6,30),IF('Benefits Master'!L75="Dec 31",DATE(YEAR(TODAY()),12,31),IF('Benefits Master'!L75="Card Anniversary","Enter open date",IF('Benefits Master'!L75="Specific Date","Set specific date",DATE(YEAR(TODAY()),12,31)))))))))</x:f>
      </x:c>
      <x:c r="I75" t="str">
        <x:f>IF(A75="","",'Benefits Master'!H75)</x:f>
      </x:c>
      <x:c r="J75" t="str">
        <x:f>IF(A75="","",SUMIFS('Benefit Usage Log'!$H:$H,'Benefit Usage Log'!$E:$E,A75,'Benefit Usage Log'!$G:$G,G75))</x:f>
      </x:c>
      <x:c r="K75" t="str">
        <x:f>IF(A75="","",MAX(0,I75-J75))</x:f>
      </x:c>
      <x:c r="L75" t="str">
        <x:f>IF(A75="","",IF(I75=0,0,MIN(1,J75/I75)))</x:f>
      </x:c>
      <x:c r="M75" t="str">
        <x:f>IF(A75="","",IF(ISNUMBER(H75)=FALSE,"Review Terms",IF(J75&gt;=I75,"Used",IF(AND(J75&gt;0,J75&lt;I75,H75&lt;TODAY()),"Missed",IF(AND(J75=0,H75&lt;TODAY()),"Missed",IF(AND(I75-J75&gt;0,H75-TODAY()&lt;='Benefits Master'!N75),"Expiring Soon",IF(J75&gt;0,"Partially Used","Not Used")))))))</x:f>
      </x:c>
      <x:c r="N75" t="str">
        <x:f>IF(A75="","",IF(ISNUMBER(H75),H75-TODAY(),""))</x:f>
      </x:c>
      <x:c r="O75" t="str">
        <x:f>IF(A75="","",'Benefits Master'!P75)</x:f>
      </x:c>
      <x:c r="P75" t="str">
        <x:f>IF(A75="","",'Benefits Master'!Q75)</x:f>
      </x:c>
      <x:c r="Q75" t="str">
        <x:f>IF(A75="","",'Benefits Master'!S75)</x:f>
      </x:c>
    </x:row>
    <x:row r="76">
      <x:c r="A76" t="str">
        <x:f>IF('Benefits Master'!A76="","",'Benefits Master'!A76)</x:f>
      </x:c>
      <x:c r="B76" t="str">
        <x:f>IF(A76="","",'Benefits Master'!B76)</x:f>
      </x:c>
      <x:c r="C76" t="str">
        <x:f>IF(A76="","",'Benefits Master'!D76)</x:f>
      </x:c>
      <x:c r="D76" t="str">
        <x:f>IF(A76="","",'Benefits Master'!E76)</x:f>
      </x:c>
      <x:c r="E76" t="str">
        <x:f>IF(A76="","",'Benefits Master'!J76)</x:f>
      </x:c>
      <x:c r="F76" t="str">
        <x:f>IF(A76="","",'Benefits Master'!K76)</x:f>
      </x:c>
      <x:c r="G76" t="str">
        <x:f>IF(A76="","",IF(F76="Jan-Jun",YEAR(TODAY())&amp;"-H1",IF(F76="Jul-Dec",YEAR(TODAY())&amp;"-H2",IF(E76="Monthly",TEXT(TODAY(),"yyyy-mm"),IF(E76="Quarterly",YEAR(TODAY())&amp;"-Q"&amp;ROUNDUP(MONTH(TODAY())/3,0),IF(E76="Semiannual",IF(MONTH(TODAY())&lt;=6,YEAR(TODAY())&amp;"-H1",YEAR(TODAY())&amp;"-H2"),IF(E76="Annual",YEAR(TODAY()),IF(E76="One-time","One-time","Custom"))))))))</x:f>
      </x:c>
      <x:c r="H76" t="str">
        <x:f>IF(A76="","",IF('Benefits Master'!M76&lt;&gt;"",'Benefits Master'!M76,IF('Benefits Master'!L76="End of Month",EOMONTH(TODAY(),0),IF('Benefits Master'!L76="End of Quarter",EOMONTH(DATE(YEAR(TODAY()),ROUNDUP(MONTH(TODAY())/3,0)*3,1),0),IF('Benefits Master'!L76="June 30",DATE(YEAR(TODAY()),6,30),IF('Benefits Master'!L76="Dec 31",DATE(YEAR(TODAY()),12,31),IF('Benefits Master'!L76="Card Anniversary","Enter open date",IF('Benefits Master'!L76="Specific Date","Set specific date",DATE(YEAR(TODAY()),12,31)))))))))</x:f>
      </x:c>
      <x:c r="I76" t="str">
        <x:f>IF(A76="","",'Benefits Master'!H76)</x:f>
      </x:c>
      <x:c r="J76" t="str">
        <x:f>IF(A76="","",SUMIFS('Benefit Usage Log'!$H:$H,'Benefit Usage Log'!$E:$E,A76,'Benefit Usage Log'!$G:$G,G76))</x:f>
      </x:c>
      <x:c r="K76" t="str">
        <x:f>IF(A76="","",MAX(0,I76-J76))</x:f>
      </x:c>
      <x:c r="L76" t="str">
        <x:f>IF(A76="","",IF(I76=0,0,MIN(1,J76/I76)))</x:f>
      </x:c>
      <x:c r="M76" t="str">
        <x:f>IF(A76="","",IF(ISNUMBER(H76)=FALSE,"Review Terms",IF(J76&gt;=I76,"Used",IF(AND(J76&gt;0,J76&lt;I76,H76&lt;TODAY()),"Missed",IF(AND(J76=0,H76&lt;TODAY()),"Missed",IF(AND(I76-J76&gt;0,H76-TODAY()&lt;='Benefits Master'!N76),"Expiring Soon",IF(J76&gt;0,"Partially Used","Not Used")))))))</x:f>
      </x:c>
      <x:c r="N76" t="str">
        <x:f>IF(A76="","",IF(ISNUMBER(H76),H76-TODAY(),""))</x:f>
      </x:c>
      <x:c r="O76" t="str">
        <x:f>IF(A76="","",'Benefits Master'!P76)</x:f>
      </x:c>
      <x:c r="P76" t="str">
        <x:f>IF(A76="","",'Benefits Master'!Q76)</x:f>
      </x:c>
      <x:c r="Q76" t="str">
        <x:f>IF(A76="","",'Benefits Master'!S76)</x:f>
      </x:c>
    </x:row>
    <x:row r="77">
      <x:c r="A77" t="str">
        <x:f>IF('Benefits Master'!A77="","",'Benefits Master'!A77)</x:f>
      </x:c>
      <x:c r="B77" t="str">
        <x:f>IF(A77="","",'Benefits Master'!B77)</x:f>
      </x:c>
      <x:c r="C77" t="str">
        <x:f>IF(A77="","",'Benefits Master'!D77)</x:f>
      </x:c>
      <x:c r="D77" t="str">
        <x:f>IF(A77="","",'Benefits Master'!E77)</x:f>
      </x:c>
      <x:c r="E77" t="str">
        <x:f>IF(A77="","",'Benefits Master'!J77)</x:f>
      </x:c>
      <x:c r="F77" t="str">
        <x:f>IF(A77="","",'Benefits Master'!K77)</x:f>
      </x:c>
      <x:c r="G77" t="str">
        <x:f>IF(A77="","",IF(F77="Jan-Jun",YEAR(TODAY())&amp;"-H1",IF(F77="Jul-Dec",YEAR(TODAY())&amp;"-H2",IF(E77="Monthly",TEXT(TODAY(),"yyyy-mm"),IF(E77="Quarterly",YEAR(TODAY())&amp;"-Q"&amp;ROUNDUP(MONTH(TODAY())/3,0),IF(E77="Semiannual",IF(MONTH(TODAY())&lt;=6,YEAR(TODAY())&amp;"-H1",YEAR(TODAY())&amp;"-H2"),IF(E77="Annual",YEAR(TODAY()),IF(E77="One-time","One-time","Custom"))))))))</x:f>
      </x:c>
      <x:c r="H77" t="str">
        <x:f>IF(A77="","",IF('Benefits Master'!M77&lt;&gt;"",'Benefits Master'!M77,IF('Benefits Master'!L77="End of Month",EOMONTH(TODAY(),0),IF('Benefits Master'!L77="End of Quarter",EOMONTH(DATE(YEAR(TODAY()),ROUNDUP(MONTH(TODAY())/3,0)*3,1),0),IF('Benefits Master'!L77="June 30",DATE(YEAR(TODAY()),6,30),IF('Benefits Master'!L77="Dec 31",DATE(YEAR(TODAY()),12,31),IF('Benefits Master'!L77="Card Anniversary","Enter open date",IF('Benefits Master'!L77="Specific Date","Set specific date",DATE(YEAR(TODAY()),12,31)))))))))</x:f>
      </x:c>
      <x:c r="I77" t="str">
        <x:f>IF(A77="","",'Benefits Master'!H77)</x:f>
      </x:c>
      <x:c r="J77" t="str">
        <x:f>IF(A77="","",SUMIFS('Benefit Usage Log'!$H:$H,'Benefit Usage Log'!$E:$E,A77,'Benefit Usage Log'!$G:$G,G77))</x:f>
      </x:c>
      <x:c r="K77" t="str">
        <x:f>IF(A77="","",MAX(0,I77-J77))</x:f>
      </x:c>
      <x:c r="L77" t="str">
        <x:f>IF(A77="","",IF(I77=0,0,MIN(1,J77/I77)))</x:f>
      </x:c>
      <x:c r="M77" t="str">
        <x:f>IF(A77="","",IF(ISNUMBER(H77)=FALSE,"Review Terms",IF(J77&gt;=I77,"Used",IF(AND(J77&gt;0,J77&lt;I77,H77&lt;TODAY()),"Missed",IF(AND(J77=0,H77&lt;TODAY()),"Missed",IF(AND(I77-J77&gt;0,H77-TODAY()&lt;='Benefits Master'!N77),"Expiring Soon",IF(J77&gt;0,"Partially Used","Not Used")))))))</x:f>
      </x:c>
      <x:c r="N77" t="str">
        <x:f>IF(A77="","",IF(ISNUMBER(H77),H77-TODAY(),""))</x:f>
      </x:c>
      <x:c r="O77" t="str">
        <x:f>IF(A77="","",'Benefits Master'!P77)</x:f>
      </x:c>
      <x:c r="P77" t="str">
        <x:f>IF(A77="","",'Benefits Master'!Q77)</x:f>
      </x:c>
      <x:c r="Q77" t="str">
        <x:f>IF(A77="","",'Benefits Master'!S77)</x:f>
      </x:c>
    </x:row>
    <x:row r="78">
      <x:c r="A78" t="str">
        <x:f>IF('Benefits Master'!A78="","",'Benefits Master'!A78)</x:f>
      </x:c>
      <x:c r="B78" t="str">
        <x:f>IF(A78="","",'Benefits Master'!B78)</x:f>
      </x:c>
      <x:c r="C78" t="str">
        <x:f>IF(A78="","",'Benefits Master'!D78)</x:f>
      </x:c>
      <x:c r="D78" t="str">
        <x:f>IF(A78="","",'Benefits Master'!E78)</x:f>
      </x:c>
      <x:c r="E78" t="str">
        <x:f>IF(A78="","",'Benefits Master'!J78)</x:f>
      </x:c>
      <x:c r="F78" t="str">
        <x:f>IF(A78="","",'Benefits Master'!K78)</x:f>
      </x:c>
      <x:c r="G78" t="str">
        <x:f>IF(A78="","",IF(F78="Jan-Jun",YEAR(TODAY())&amp;"-H1",IF(F78="Jul-Dec",YEAR(TODAY())&amp;"-H2",IF(E78="Monthly",TEXT(TODAY(),"yyyy-mm"),IF(E78="Quarterly",YEAR(TODAY())&amp;"-Q"&amp;ROUNDUP(MONTH(TODAY())/3,0),IF(E78="Semiannual",IF(MONTH(TODAY())&lt;=6,YEAR(TODAY())&amp;"-H1",YEAR(TODAY())&amp;"-H2"),IF(E78="Annual",YEAR(TODAY()),IF(E78="One-time","One-time","Custom"))))))))</x:f>
      </x:c>
      <x:c r="H78" t="str">
        <x:f>IF(A78="","",IF('Benefits Master'!M78&lt;&gt;"",'Benefits Master'!M78,IF('Benefits Master'!L78="End of Month",EOMONTH(TODAY(),0),IF('Benefits Master'!L78="End of Quarter",EOMONTH(DATE(YEAR(TODAY()),ROUNDUP(MONTH(TODAY())/3,0)*3,1),0),IF('Benefits Master'!L78="June 30",DATE(YEAR(TODAY()),6,30),IF('Benefits Master'!L78="Dec 31",DATE(YEAR(TODAY()),12,31),IF('Benefits Master'!L78="Card Anniversary","Enter open date",IF('Benefits Master'!L78="Specific Date","Set specific date",DATE(YEAR(TODAY()),12,31)))))))))</x:f>
      </x:c>
      <x:c r="I78" t="str">
        <x:f>IF(A78="","",'Benefits Master'!H78)</x:f>
      </x:c>
      <x:c r="J78" t="str">
        <x:f>IF(A78="","",SUMIFS('Benefit Usage Log'!$H:$H,'Benefit Usage Log'!$E:$E,A78,'Benefit Usage Log'!$G:$G,G78))</x:f>
      </x:c>
      <x:c r="K78" t="str">
        <x:f>IF(A78="","",MAX(0,I78-J78))</x:f>
      </x:c>
      <x:c r="L78" t="str">
        <x:f>IF(A78="","",IF(I78=0,0,MIN(1,J78/I78)))</x:f>
      </x:c>
      <x:c r="M78" t="str">
        <x:f>IF(A78="","",IF(ISNUMBER(H78)=FALSE,"Review Terms",IF(J78&gt;=I78,"Used",IF(AND(J78&gt;0,J78&lt;I78,H78&lt;TODAY()),"Missed",IF(AND(J78=0,H78&lt;TODAY()),"Missed",IF(AND(I78-J78&gt;0,H78-TODAY()&lt;='Benefits Master'!N78),"Expiring Soon",IF(J78&gt;0,"Partially Used","Not Used")))))))</x:f>
      </x:c>
      <x:c r="N78" t="str">
        <x:f>IF(A78="","",IF(ISNUMBER(H78),H78-TODAY(),""))</x:f>
      </x:c>
      <x:c r="O78" t="str">
        <x:f>IF(A78="","",'Benefits Master'!P78)</x:f>
      </x:c>
      <x:c r="P78" t="str">
        <x:f>IF(A78="","",'Benefits Master'!Q78)</x:f>
      </x:c>
      <x:c r="Q78" t="str">
        <x:f>IF(A78="","",'Benefits Master'!S78)</x:f>
      </x:c>
    </x:row>
    <x:row r="79">
      <x:c r="A79" t="str">
        <x:f>IF('Benefits Master'!A79="","",'Benefits Master'!A79)</x:f>
      </x:c>
      <x:c r="B79" t="str">
        <x:f>IF(A79="","",'Benefits Master'!B79)</x:f>
      </x:c>
      <x:c r="C79" t="str">
        <x:f>IF(A79="","",'Benefits Master'!D79)</x:f>
      </x:c>
      <x:c r="D79" t="str">
        <x:f>IF(A79="","",'Benefits Master'!E79)</x:f>
      </x:c>
      <x:c r="E79" t="str">
        <x:f>IF(A79="","",'Benefits Master'!J79)</x:f>
      </x:c>
      <x:c r="F79" t="str">
        <x:f>IF(A79="","",'Benefits Master'!K79)</x:f>
      </x:c>
      <x:c r="G79" t="str">
        <x:f>IF(A79="","",IF(F79="Jan-Jun",YEAR(TODAY())&amp;"-H1",IF(F79="Jul-Dec",YEAR(TODAY())&amp;"-H2",IF(E79="Monthly",TEXT(TODAY(),"yyyy-mm"),IF(E79="Quarterly",YEAR(TODAY())&amp;"-Q"&amp;ROUNDUP(MONTH(TODAY())/3,0),IF(E79="Semiannual",IF(MONTH(TODAY())&lt;=6,YEAR(TODAY())&amp;"-H1",YEAR(TODAY())&amp;"-H2"),IF(E79="Annual",YEAR(TODAY()),IF(E79="One-time","One-time","Custom"))))))))</x:f>
      </x:c>
      <x:c r="H79" t="str">
        <x:f>IF(A79="","",IF('Benefits Master'!M79&lt;&gt;"",'Benefits Master'!M79,IF('Benefits Master'!L79="End of Month",EOMONTH(TODAY(),0),IF('Benefits Master'!L79="End of Quarter",EOMONTH(DATE(YEAR(TODAY()),ROUNDUP(MONTH(TODAY())/3,0)*3,1),0),IF('Benefits Master'!L79="June 30",DATE(YEAR(TODAY()),6,30),IF('Benefits Master'!L79="Dec 31",DATE(YEAR(TODAY()),12,31),IF('Benefits Master'!L79="Card Anniversary","Enter open date",IF('Benefits Master'!L79="Specific Date","Set specific date",DATE(YEAR(TODAY()),12,31)))))))))</x:f>
      </x:c>
      <x:c r="I79" t="str">
        <x:f>IF(A79="","",'Benefits Master'!H79)</x:f>
      </x:c>
      <x:c r="J79" t="str">
        <x:f>IF(A79="","",SUMIFS('Benefit Usage Log'!$H:$H,'Benefit Usage Log'!$E:$E,A79,'Benefit Usage Log'!$G:$G,G79))</x:f>
      </x:c>
      <x:c r="K79" t="str">
        <x:f>IF(A79="","",MAX(0,I79-J79))</x:f>
      </x:c>
      <x:c r="L79" t="str">
        <x:f>IF(A79="","",IF(I79=0,0,MIN(1,J79/I79)))</x:f>
      </x:c>
      <x:c r="M79" t="str">
        <x:f>IF(A79="","",IF(ISNUMBER(H79)=FALSE,"Review Terms",IF(J79&gt;=I79,"Used",IF(AND(J79&gt;0,J79&lt;I79,H79&lt;TODAY()),"Missed",IF(AND(J79=0,H79&lt;TODAY()),"Missed",IF(AND(I79-J79&gt;0,H79-TODAY()&lt;='Benefits Master'!N79),"Expiring Soon",IF(J79&gt;0,"Partially Used","Not Used")))))))</x:f>
      </x:c>
      <x:c r="N79" t="str">
        <x:f>IF(A79="","",IF(ISNUMBER(H79),H79-TODAY(),""))</x:f>
      </x:c>
      <x:c r="O79" t="str">
        <x:f>IF(A79="","",'Benefits Master'!P79)</x:f>
      </x:c>
      <x:c r="P79" t="str">
        <x:f>IF(A79="","",'Benefits Master'!Q79)</x:f>
      </x:c>
      <x:c r="Q79" t="str">
        <x:f>IF(A79="","",'Benefits Master'!S79)</x:f>
      </x:c>
    </x:row>
    <x:row r="80">
      <x:c r="A80" t="str">
        <x:f>IF('Benefits Master'!A80="","",'Benefits Master'!A80)</x:f>
      </x:c>
      <x:c r="B80" t="str">
        <x:f>IF(A80="","",'Benefits Master'!B80)</x:f>
      </x:c>
      <x:c r="C80" t="str">
        <x:f>IF(A80="","",'Benefits Master'!D80)</x:f>
      </x:c>
      <x:c r="D80" t="str">
        <x:f>IF(A80="","",'Benefits Master'!E80)</x:f>
      </x:c>
      <x:c r="E80" t="str">
        <x:f>IF(A80="","",'Benefits Master'!J80)</x:f>
      </x:c>
      <x:c r="F80" t="str">
        <x:f>IF(A80="","",'Benefits Master'!K80)</x:f>
      </x:c>
      <x:c r="G80" t="str">
        <x:f>IF(A80="","",IF(F80="Jan-Jun",YEAR(TODAY())&amp;"-H1",IF(F80="Jul-Dec",YEAR(TODAY())&amp;"-H2",IF(E80="Monthly",TEXT(TODAY(),"yyyy-mm"),IF(E80="Quarterly",YEAR(TODAY())&amp;"-Q"&amp;ROUNDUP(MONTH(TODAY())/3,0),IF(E80="Semiannual",IF(MONTH(TODAY())&lt;=6,YEAR(TODAY())&amp;"-H1",YEAR(TODAY())&amp;"-H2"),IF(E80="Annual",YEAR(TODAY()),IF(E80="One-time","One-time","Custom"))))))))</x:f>
      </x:c>
      <x:c r="H80" t="str">
        <x:f>IF(A80="","",IF('Benefits Master'!M80&lt;&gt;"",'Benefits Master'!M80,IF('Benefits Master'!L80="End of Month",EOMONTH(TODAY(),0),IF('Benefits Master'!L80="End of Quarter",EOMONTH(DATE(YEAR(TODAY()),ROUNDUP(MONTH(TODAY())/3,0)*3,1),0),IF('Benefits Master'!L80="June 30",DATE(YEAR(TODAY()),6,30),IF('Benefits Master'!L80="Dec 31",DATE(YEAR(TODAY()),12,31),IF('Benefits Master'!L80="Card Anniversary","Enter open date",IF('Benefits Master'!L80="Specific Date","Set specific date",DATE(YEAR(TODAY()),12,31)))))))))</x:f>
      </x:c>
      <x:c r="I80" t="str">
        <x:f>IF(A80="","",'Benefits Master'!H80)</x:f>
      </x:c>
      <x:c r="J80" t="str">
        <x:f>IF(A80="","",SUMIFS('Benefit Usage Log'!$H:$H,'Benefit Usage Log'!$E:$E,A80,'Benefit Usage Log'!$G:$G,G80))</x:f>
      </x:c>
      <x:c r="K80" t="str">
        <x:f>IF(A80="","",MAX(0,I80-J80))</x:f>
      </x:c>
      <x:c r="L80" t="str">
        <x:f>IF(A80="","",IF(I80=0,0,MIN(1,J80/I80)))</x:f>
      </x:c>
      <x:c r="M80" t="str">
        <x:f>IF(A80="","",IF(ISNUMBER(H80)=FALSE,"Review Terms",IF(J80&gt;=I80,"Used",IF(AND(J80&gt;0,J80&lt;I80,H80&lt;TODAY()),"Missed",IF(AND(J80=0,H80&lt;TODAY()),"Missed",IF(AND(I80-J80&gt;0,H80-TODAY()&lt;='Benefits Master'!N80),"Expiring Soon",IF(J80&gt;0,"Partially Used","Not Used")))))))</x:f>
      </x:c>
      <x:c r="N80" t="str">
        <x:f>IF(A80="","",IF(ISNUMBER(H80),H80-TODAY(),""))</x:f>
      </x:c>
      <x:c r="O80" t="str">
        <x:f>IF(A80="","",'Benefits Master'!P80)</x:f>
      </x:c>
      <x:c r="P80" t="str">
        <x:f>IF(A80="","",'Benefits Master'!Q80)</x:f>
      </x:c>
      <x:c r="Q80" t="str">
        <x:f>IF(A80="","",'Benefits Master'!S80)</x:f>
      </x:c>
    </x:row>
    <x:row r="81">
      <x:c r="A81" t="str">
        <x:f>IF('Benefits Master'!A81="","",'Benefits Master'!A81)</x:f>
      </x:c>
      <x:c r="B81" t="str">
        <x:f>IF(A81="","",'Benefits Master'!B81)</x:f>
      </x:c>
      <x:c r="C81" t="str">
        <x:f>IF(A81="","",'Benefits Master'!D81)</x:f>
      </x:c>
      <x:c r="D81" t="str">
        <x:f>IF(A81="","",'Benefits Master'!E81)</x:f>
      </x:c>
      <x:c r="E81" t="str">
        <x:f>IF(A81="","",'Benefits Master'!J81)</x:f>
      </x:c>
      <x:c r="F81" t="str">
        <x:f>IF(A81="","",'Benefits Master'!K81)</x:f>
      </x:c>
      <x:c r="G81" t="str">
        <x:f>IF(A81="","",IF(F81="Jan-Jun",YEAR(TODAY())&amp;"-H1",IF(F81="Jul-Dec",YEAR(TODAY())&amp;"-H2",IF(E81="Monthly",TEXT(TODAY(),"yyyy-mm"),IF(E81="Quarterly",YEAR(TODAY())&amp;"-Q"&amp;ROUNDUP(MONTH(TODAY())/3,0),IF(E81="Semiannual",IF(MONTH(TODAY())&lt;=6,YEAR(TODAY())&amp;"-H1",YEAR(TODAY())&amp;"-H2"),IF(E81="Annual",YEAR(TODAY()),IF(E81="One-time","One-time","Custom"))))))))</x:f>
      </x:c>
      <x:c r="H81" t="str">
        <x:f>IF(A81="","",IF('Benefits Master'!M81&lt;&gt;"",'Benefits Master'!M81,IF('Benefits Master'!L81="End of Month",EOMONTH(TODAY(),0),IF('Benefits Master'!L81="End of Quarter",EOMONTH(DATE(YEAR(TODAY()),ROUNDUP(MONTH(TODAY())/3,0)*3,1),0),IF('Benefits Master'!L81="June 30",DATE(YEAR(TODAY()),6,30),IF('Benefits Master'!L81="Dec 31",DATE(YEAR(TODAY()),12,31),IF('Benefits Master'!L81="Card Anniversary","Enter open date",IF('Benefits Master'!L81="Specific Date","Set specific date",DATE(YEAR(TODAY()),12,31)))))))))</x:f>
      </x:c>
      <x:c r="I81" t="str">
        <x:f>IF(A81="","",'Benefits Master'!H81)</x:f>
      </x:c>
      <x:c r="J81" t="str">
        <x:f>IF(A81="","",SUMIFS('Benefit Usage Log'!$H:$H,'Benefit Usage Log'!$E:$E,A81,'Benefit Usage Log'!$G:$G,G81))</x:f>
      </x:c>
      <x:c r="K81" t="str">
        <x:f>IF(A81="","",MAX(0,I81-J81))</x:f>
      </x:c>
      <x:c r="L81" t="str">
        <x:f>IF(A81="","",IF(I81=0,0,MIN(1,J81/I81)))</x:f>
      </x:c>
      <x:c r="M81" t="str">
        <x:f>IF(A81="","",IF(ISNUMBER(H81)=FALSE,"Review Terms",IF(J81&gt;=I81,"Used",IF(AND(J81&gt;0,J81&lt;I81,H81&lt;TODAY()),"Missed",IF(AND(J81=0,H81&lt;TODAY()),"Missed",IF(AND(I81-J81&gt;0,H81-TODAY()&lt;='Benefits Master'!N81),"Expiring Soon",IF(J81&gt;0,"Partially Used","Not Used")))))))</x:f>
      </x:c>
      <x:c r="N81" t="str">
        <x:f>IF(A81="","",IF(ISNUMBER(H81),H81-TODAY(),""))</x:f>
      </x:c>
      <x:c r="O81" t="str">
        <x:f>IF(A81="","",'Benefits Master'!P81)</x:f>
      </x:c>
      <x:c r="P81" t="str">
        <x:f>IF(A81="","",'Benefits Master'!Q81)</x:f>
      </x:c>
      <x:c r="Q81" t="str">
        <x:f>IF(A81="","",'Benefits Master'!S81)</x:f>
      </x:c>
    </x:row>
    <x:row r="82">
      <x:c r="A82" t="str">
        <x:f>IF('Benefits Master'!A82="","",'Benefits Master'!A82)</x:f>
      </x:c>
      <x:c r="B82" t="str">
        <x:f>IF(A82="","",'Benefits Master'!B82)</x:f>
      </x:c>
      <x:c r="C82" t="str">
        <x:f>IF(A82="","",'Benefits Master'!D82)</x:f>
      </x:c>
      <x:c r="D82" t="str">
        <x:f>IF(A82="","",'Benefits Master'!E82)</x:f>
      </x:c>
      <x:c r="E82" t="str">
        <x:f>IF(A82="","",'Benefits Master'!J82)</x:f>
      </x:c>
      <x:c r="F82" t="str">
        <x:f>IF(A82="","",'Benefits Master'!K82)</x:f>
      </x:c>
      <x:c r="G82" t="str">
        <x:f>IF(A82="","",IF(F82="Jan-Jun",YEAR(TODAY())&amp;"-H1",IF(F82="Jul-Dec",YEAR(TODAY())&amp;"-H2",IF(E82="Monthly",TEXT(TODAY(),"yyyy-mm"),IF(E82="Quarterly",YEAR(TODAY())&amp;"-Q"&amp;ROUNDUP(MONTH(TODAY())/3,0),IF(E82="Semiannual",IF(MONTH(TODAY())&lt;=6,YEAR(TODAY())&amp;"-H1",YEAR(TODAY())&amp;"-H2"),IF(E82="Annual",YEAR(TODAY()),IF(E82="One-time","One-time","Custom"))))))))</x:f>
      </x:c>
      <x:c r="H82" t="str">
        <x:f>IF(A82="","",IF('Benefits Master'!M82&lt;&gt;"",'Benefits Master'!M82,IF('Benefits Master'!L82="End of Month",EOMONTH(TODAY(),0),IF('Benefits Master'!L82="End of Quarter",EOMONTH(DATE(YEAR(TODAY()),ROUNDUP(MONTH(TODAY())/3,0)*3,1),0),IF('Benefits Master'!L82="June 30",DATE(YEAR(TODAY()),6,30),IF('Benefits Master'!L82="Dec 31",DATE(YEAR(TODAY()),12,31),IF('Benefits Master'!L82="Card Anniversary","Enter open date",IF('Benefits Master'!L82="Specific Date","Set specific date",DATE(YEAR(TODAY()),12,31)))))))))</x:f>
      </x:c>
      <x:c r="I82" t="str">
        <x:f>IF(A82="","",'Benefits Master'!H82)</x:f>
      </x:c>
      <x:c r="J82" t="str">
        <x:f>IF(A82="","",SUMIFS('Benefit Usage Log'!$H:$H,'Benefit Usage Log'!$E:$E,A82,'Benefit Usage Log'!$G:$G,G82))</x:f>
      </x:c>
      <x:c r="K82" t="str">
        <x:f>IF(A82="","",MAX(0,I82-J82))</x:f>
      </x:c>
      <x:c r="L82" t="str">
        <x:f>IF(A82="","",IF(I82=0,0,MIN(1,J82/I82)))</x:f>
      </x:c>
      <x:c r="M82" t="str">
        <x:f>IF(A82="","",IF(ISNUMBER(H82)=FALSE,"Review Terms",IF(J82&gt;=I82,"Used",IF(AND(J82&gt;0,J82&lt;I82,H82&lt;TODAY()),"Missed",IF(AND(J82=0,H82&lt;TODAY()),"Missed",IF(AND(I82-J82&gt;0,H82-TODAY()&lt;='Benefits Master'!N82),"Expiring Soon",IF(J82&gt;0,"Partially Used","Not Used")))))))</x:f>
      </x:c>
      <x:c r="N82" t="str">
        <x:f>IF(A82="","",IF(ISNUMBER(H82),H82-TODAY(),""))</x:f>
      </x:c>
      <x:c r="O82" t="str">
        <x:f>IF(A82="","",'Benefits Master'!P82)</x:f>
      </x:c>
      <x:c r="P82" t="str">
        <x:f>IF(A82="","",'Benefits Master'!Q82)</x:f>
      </x:c>
      <x:c r="Q82" t="str">
        <x:f>IF(A82="","",'Benefits Master'!S82)</x:f>
      </x:c>
    </x:row>
    <x:row r="83">
      <x:c r="A83" t="str">
        <x:f>IF('Benefits Master'!A83="","",'Benefits Master'!A83)</x:f>
      </x:c>
      <x:c r="B83" t="str">
        <x:f>IF(A83="","",'Benefits Master'!B83)</x:f>
      </x:c>
      <x:c r="C83" t="str">
        <x:f>IF(A83="","",'Benefits Master'!D83)</x:f>
      </x:c>
      <x:c r="D83" t="str">
        <x:f>IF(A83="","",'Benefits Master'!E83)</x:f>
      </x:c>
      <x:c r="E83" t="str">
        <x:f>IF(A83="","",'Benefits Master'!J83)</x:f>
      </x:c>
      <x:c r="F83" t="str">
        <x:f>IF(A83="","",'Benefits Master'!K83)</x:f>
      </x:c>
      <x:c r="G83" t="str">
        <x:f>IF(A83="","",IF(F83="Jan-Jun",YEAR(TODAY())&amp;"-H1",IF(F83="Jul-Dec",YEAR(TODAY())&amp;"-H2",IF(E83="Monthly",TEXT(TODAY(),"yyyy-mm"),IF(E83="Quarterly",YEAR(TODAY())&amp;"-Q"&amp;ROUNDUP(MONTH(TODAY())/3,0),IF(E83="Semiannual",IF(MONTH(TODAY())&lt;=6,YEAR(TODAY())&amp;"-H1",YEAR(TODAY())&amp;"-H2"),IF(E83="Annual",YEAR(TODAY()),IF(E83="One-time","One-time","Custom"))))))))</x:f>
      </x:c>
      <x:c r="H83" t="str">
        <x:f>IF(A83="","",IF('Benefits Master'!M83&lt;&gt;"",'Benefits Master'!M83,IF('Benefits Master'!L83="End of Month",EOMONTH(TODAY(),0),IF('Benefits Master'!L83="End of Quarter",EOMONTH(DATE(YEAR(TODAY()),ROUNDUP(MONTH(TODAY())/3,0)*3,1),0),IF('Benefits Master'!L83="June 30",DATE(YEAR(TODAY()),6,30),IF('Benefits Master'!L83="Dec 31",DATE(YEAR(TODAY()),12,31),IF('Benefits Master'!L83="Card Anniversary","Enter open date",IF('Benefits Master'!L83="Specific Date","Set specific date",DATE(YEAR(TODAY()),12,31)))))))))</x:f>
      </x:c>
      <x:c r="I83" t="str">
        <x:f>IF(A83="","",'Benefits Master'!H83)</x:f>
      </x:c>
      <x:c r="J83" t="str">
        <x:f>IF(A83="","",SUMIFS('Benefit Usage Log'!$H:$H,'Benefit Usage Log'!$E:$E,A83,'Benefit Usage Log'!$G:$G,G83))</x:f>
      </x:c>
      <x:c r="K83" t="str">
        <x:f>IF(A83="","",MAX(0,I83-J83))</x:f>
      </x:c>
      <x:c r="L83" t="str">
        <x:f>IF(A83="","",IF(I83=0,0,MIN(1,J83/I83)))</x:f>
      </x:c>
      <x:c r="M83" t="str">
        <x:f>IF(A83="","",IF(ISNUMBER(H83)=FALSE,"Review Terms",IF(J83&gt;=I83,"Used",IF(AND(J83&gt;0,J83&lt;I83,H83&lt;TODAY()),"Missed",IF(AND(J83=0,H83&lt;TODAY()),"Missed",IF(AND(I83-J83&gt;0,H83-TODAY()&lt;='Benefits Master'!N83),"Expiring Soon",IF(J83&gt;0,"Partially Used","Not Used")))))))</x:f>
      </x:c>
      <x:c r="N83" t="str">
        <x:f>IF(A83="","",IF(ISNUMBER(H83),H83-TODAY(),""))</x:f>
      </x:c>
      <x:c r="O83" t="str">
        <x:f>IF(A83="","",'Benefits Master'!P83)</x:f>
      </x:c>
      <x:c r="P83" t="str">
        <x:f>IF(A83="","",'Benefits Master'!Q83)</x:f>
      </x:c>
      <x:c r="Q83" t="str">
        <x:f>IF(A83="","",'Benefits Master'!S83)</x:f>
      </x:c>
    </x:row>
    <x:row r="84">
      <x:c r="A84" t="str">
        <x:f>IF('Benefits Master'!A84="","",'Benefits Master'!A84)</x:f>
      </x:c>
      <x:c r="B84" t="str">
        <x:f>IF(A84="","",'Benefits Master'!B84)</x:f>
      </x:c>
      <x:c r="C84" t="str">
        <x:f>IF(A84="","",'Benefits Master'!D84)</x:f>
      </x:c>
      <x:c r="D84" t="str">
        <x:f>IF(A84="","",'Benefits Master'!E84)</x:f>
      </x:c>
      <x:c r="E84" t="str">
        <x:f>IF(A84="","",'Benefits Master'!J84)</x:f>
      </x:c>
      <x:c r="F84" t="str">
        <x:f>IF(A84="","",'Benefits Master'!K84)</x:f>
      </x:c>
      <x:c r="G84" t="str">
        <x:f>IF(A84="","",IF(F84="Jan-Jun",YEAR(TODAY())&amp;"-H1",IF(F84="Jul-Dec",YEAR(TODAY())&amp;"-H2",IF(E84="Monthly",TEXT(TODAY(),"yyyy-mm"),IF(E84="Quarterly",YEAR(TODAY())&amp;"-Q"&amp;ROUNDUP(MONTH(TODAY())/3,0),IF(E84="Semiannual",IF(MONTH(TODAY())&lt;=6,YEAR(TODAY())&amp;"-H1",YEAR(TODAY())&amp;"-H2"),IF(E84="Annual",YEAR(TODAY()),IF(E84="One-time","One-time","Custom"))))))))</x:f>
      </x:c>
      <x:c r="H84" t="str">
        <x:f>IF(A84="","",IF('Benefits Master'!M84&lt;&gt;"",'Benefits Master'!M84,IF('Benefits Master'!L84="End of Month",EOMONTH(TODAY(),0),IF('Benefits Master'!L84="End of Quarter",EOMONTH(DATE(YEAR(TODAY()),ROUNDUP(MONTH(TODAY())/3,0)*3,1),0),IF('Benefits Master'!L84="June 30",DATE(YEAR(TODAY()),6,30),IF('Benefits Master'!L84="Dec 31",DATE(YEAR(TODAY()),12,31),IF('Benefits Master'!L84="Card Anniversary","Enter open date",IF('Benefits Master'!L84="Specific Date","Set specific date",DATE(YEAR(TODAY()),12,31)))))))))</x:f>
      </x:c>
      <x:c r="I84" t="str">
        <x:f>IF(A84="","",'Benefits Master'!H84)</x:f>
      </x:c>
      <x:c r="J84" t="str">
        <x:f>IF(A84="","",SUMIFS('Benefit Usage Log'!$H:$H,'Benefit Usage Log'!$E:$E,A84,'Benefit Usage Log'!$G:$G,G84))</x:f>
      </x:c>
      <x:c r="K84" t="str">
        <x:f>IF(A84="","",MAX(0,I84-J84))</x:f>
      </x:c>
      <x:c r="L84" t="str">
        <x:f>IF(A84="","",IF(I84=0,0,MIN(1,J84/I84)))</x:f>
      </x:c>
      <x:c r="M84" t="str">
        <x:f>IF(A84="","",IF(ISNUMBER(H84)=FALSE,"Review Terms",IF(J84&gt;=I84,"Used",IF(AND(J84&gt;0,J84&lt;I84,H84&lt;TODAY()),"Missed",IF(AND(J84=0,H84&lt;TODAY()),"Missed",IF(AND(I84-J84&gt;0,H84-TODAY()&lt;='Benefits Master'!N84),"Expiring Soon",IF(J84&gt;0,"Partially Used","Not Used")))))))</x:f>
      </x:c>
      <x:c r="N84" t="str">
        <x:f>IF(A84="","",IF(ISNUMBER(H84),H84-TODAY(),""))</x:f>
      </x:c>
      <x:c r="O84" t="str">
        <x:f>IF(A84="","",'Benefits Master'!P84)</x:f>
      </x:c>
      <x:c r="P84" t="str">
        <x:f>IF(A84="","",'Benefits Master'!Q84)</x:f>
      </x:c>
      <x:c r="Q84" t="str">
        <x:f>IF(A84="","",'Benefits Master'!S84)</x:f>
      </x:c>
    </x:row>
    <x:row r="85">
      <x:c r="A85" t="str">
        <x:f>IF('Benefits Master'!A85="","",'Benefits Master'!A85)</x:f>
      </x:c>
      <x:c r="B85" t="str">
        <x:f>IF(A85="","",'Benefits Master'!B85)</x:f>
      </x:c>
      <x:c r="C85" t="str">
        <x:f>IF(A85="","",'Benefits Master'!D85)</x:f>
      </x:c>
      <x:c r="D85" t="str">
        <x:f>IF(A85="","",'Benefits Master'!E85)</x:f>
      </x:c>
      <x:c r="E85" t="str">
        <x:f>IF(A85="","",'Benefits Master'!J85)</x:f>
      </x:c>
      <x:c r="F85" t="str">
        <x:f>IF(A85="","",'Benefits Master'!K85)</x:f>
      </x:c>
      <x:c r="G85" t="str">
        <x:f>IF(A85="","",IF(F85="Jan-Jun",YEAR(TODAY())&amp;"-H1",IF(F85="Jul-Dec",YEAR(TODAY())&amp;"-H2",IF(E85="Monthly",TEXT(TODAY(),"yyyy-mm"),IF(E85="Quarterly",YEAR(TODAY())&amp;"-Q"&amp;ROUNDUP(MONTH(TODAY())/3,0),IF(E85="Semiannual",IF(MONTH(TODAY())&lt;=6,YEAR(TODAY())&amp;"-H1",YEAR(TODAY())&amp;"-H2"),IF(E85="Annual",YEAR(TODAY()),IF(E85="One-time","One-time","Custom"))))))))</x:f>
      </x:c>
      <x:c r="H85" t="str">
        <x:f>IF(A85="","",IF('Benefits Master'!M85&lt;&gt;"",'Benefits Master'!M85,IF('Benefits Master'!L85="End of Month",EOMONTH(TODAY(),0),IF('Benefits Master'!L85="End of Quarter",EOMONTH(DATE(YEAR(TODAY()),ROUNDUP(MONTH(TODAY())/3,0)*3,1),0),IF('Benefits Master'!L85="June 30",DATE(YEAR(TODAY()),6,30),IF('Benefits Master'!L85="Dec 31",DATE(YEAR(TODAY()),12,31),IF('Benefits Master'!L85="Card Anniversary","Enter open date",IF('Benefits Master'!L85="Specific Date","Set specific date",DATE(YEAR(TODAY()),12,31)))))))))</x:f>
      </x:c>
      <x:c r="I85" t="str">
        <x:f>IF(A85="","",'Benefits Master'!H85)</x:f>
      </x:c>
      <x:c r="J85" t="str">
        <x:f>IF(A85="","",SUMIFS('Benefit Usage Log'!$H:$H,'Benefit Usage Log'!$E:$E,A85,'Benefit Usage Log'!$G:$G,G85))</x:f>
      </x:c>
      <x:c r="K85" t="str">
        <x:f>IF(A85="","",MAX(0,I85-J85))</x:f>
      </x:c>
      <x:c r="L85" t="str">
        <x:f>IF(A85="","",IF(I85=0,0,MIN(1,J85/I85)))</x:f>
      </x:c>
      <x:c r="M85" t="str">
        <x:f>IF(A85="","",IF(ISNUMBER(H85)=FALSE,"Review Terms",IF(J85&gt;=I85,"Used",IF(AND(J85&gt;0,J85&lt;I85,H85&lt;TODAY()),"Missed",IF(AND(J85=0,H85&lt;TODAY()),"Missed",IF(AND(I85-J85&gt;0,H85-TODAY()&lt;='Benefits Master'!N85),"Expiring Soon",IF(J85&gt;0,"Partially Used","Not Used")))))))</x:f>
      </x:c>
      <x:c r="N85" t="str">
        <x:f>IF(A85="","",IF(ISNUMBER(H85),H85-TODAY(),""))</x:f>
      </x:c>
      <x:c r="O85" t="str">
        <x:f>IF(A85="","",'Benefits Master'!P85)</x:f>
      </x:c>
      <x:c r="P85" t="str">
        <x:f>IF(A85="","",'Benefits Master'!Q85)</x:f>
      </x:c>
      <x:c r="Q85" t="str">
        <x:f>IF(A85="","",'Benefits Master'!S85)</x:f>
      </x:c>
    </x:row>
    <x:row r="86">
      <x:c r="A86" t="str">
        <x:f>IF('Benefits Master'!A86="","",'Benefits Master'!A86)</x:f>
      </x:c>
      <x:c r="B86" t="str">
        <x:f>IF(A86="","",'Benefits Master'!B86)</x:f>
      </x:c>
      <x:c r="C86" t="str">
        <x:f>IF(A86="","",'Benefits Master'!D86)</x:f>
      </x:c>
      <x:c r="D86" t="str">
        <x:f>IF(A86="","",'Benefits Master'!E86)</x:f>
      </x:c>
      <x:c r="E86" t="str">
        <x:f>IF(A86="","",'Benefits Master'!J86)</x:f>
      </x:c>
      <x:c r="F86" t="str">
        <x:f>IF(A86="","",'Benefits Master'!K86)</x:f>
      </x:c>
      <x:c r="G86" t="str">
        <x:f>IF(A86="","",IF(F86="Jan-Jun",YEAR(TODAY())&amp;"-H1",IF(F86="Jul-Dec",YEAR(TODAY())&amp;"-H2",IF(E86="Monthly",TEXT(TODAY(),"yyyy-mm"),IF(E86="Quarterly",YEAR(TODAY())&amp;"-Q"&amp;ROUNDUP(MONTH(TODAY())/3,0),IF(E86="Semiannual",IF(MONTH(TODAY())&lt;=6,YEAR(TODAY())&amp;"-H1",YEAR(TODAY())&amp;"-H2"),IF(E86="Annual",YEAR(TODAY()),IF(E86="One-time","One-time","Custom"))))))))</x:f>
      </x:c>
      <x:c r="H86" t="str">
        <x:f>IF(A86="","",IF('Benefits Master'!M86&lt;&gt;"",'Benefits Master'!M86,IF('Benefits Master'!L86="End of Month",EOMONTH(TODAY(),0),IF('Benefits Master'!L86="End of Quarter",EOMONTH(DATE(YEAR(TODAY()),ROUNDUP(MONTH(TODAY())/3,0)*3,1),0),IF('Benefits Master'!L86="June 30",DATE(YEAR(TODAY()),6,30),IF('Benefits Master'!L86="Dec 31",DATE(YEAR(TODAY()),12,31),IF('Benefits Master'!L86="Card Anniversary","Enter open date",IF('Benefits Master'!L86="Specific Date","Set specific date",DATE(YEAR(TODAY()),12,31)))))))))</x:f>
      </x:c>
      <x:c r="I86" t="str">
        <x:f>IF(A86="","",'Benefits Master'!H86)</x:f>
      </x:c>
      <x:c r="J86" t="str">
        <x:f>IF(A86="","",SUMIFS('Benefit Usage Log'!$H:$H,'Benefit Usage Log'!$E:$E,A86,'Benefit Usage Log'!$G:$G,G86))</x:f>
      </x:c>
      <x:c r="K86" t="str">
        <x:f>IF(A86="","",MAX(0,I86-J86))</x:f>
      </x:c>
      <x:c r="L86" t="str">
        <x:f>IF(A86="","",IF(I86=0,0,MIN(1,J86/I86)))</x:f>
      </x:c>
      <x:c r="M86" t="str">
        <x:f>IF(A86="","",IF(ISNUMBER(H86)=FALSE,"Review Terms",IF(J86&gt;=I86,"Used",IF(AND(J86&gt;0,J86&lt;I86,H86&lt;TODAY()),"Missed",IF(AND(J86=0,H86&lt;TODAY()),"Missed",IF(AND(I86-J86&gt;0,H86-TODAY()&lt;='Benefits Master'!N86),"Expiring Soon",IF(J86&gt;0,"Partially Used","Not Used")))))))</x:f>
      </x:c>
      <x:c r="N86" t="str">
        <x:f>IF(A86="","",IF(ISNUMBER(H86),H86-TODAY(),""))</x:f>
      </x:c>
      <x:c r="O86" t="str">
        <x:f>IF(A86="","",'Benefits Master'!P86)</x:f>
      </x:c>
      <x:c r="P86" t="str">
        <x:f>IF(A86="","",'Benefits Master'!Q86)</x:f>
      </x:c>
      <x:c r="Q86" t="str">
        <x:f>IF(A86="","",'Benefits Master'!S86)</x:f>
      </x:c>
    </x:row>
    <x:row r="87">
      <x:c r="A87" t="str">
        <x:f>IF('Benefits Master'!A87="","",'Benefits Master'!A87)</x:f>
      </x:c>
      <x:c r="B87" t="str">
        <x:f>IF(A87="","",'Benefits Master'!B87)</x:f>
      </x:c>
      <x:c r="C87" t="str">
        <x:f>IF(A87="","",'Benefits Master'!D87)</x:f>
      </x:c>
      <x:c r="D87" t="str">
        <x:f>IF(A87="","",'Benefits Master'!E87)</x:f>
      </x:c>
      <x:c r="E87" t="str">
        <x:f>IF(A87="","",'Benefits Master'!J87)</x:f>
      </x:c>
      <x:c r="F87" t="str">
        <x:f>IF(A87="","",'Benefits Master'!K87)</x:f>
      </x:c>
      <x:c r="G87" t="str">
        <x:f>IF(A87="","",IF(F87="Jan-Jun",YEAR(TODAY())&amp;"-H1",IF(F87="Jul-Dec",YEAR(TODAY())&amp;"-H2",IF(E87="Monthly",TEXT(TODAY(),"yyyy-mm"),IF(E87="Quarterly",YEAR(TODAY())&amp;"-Q"&amp;ROUNDUP(MONTH(TODAY())/3,0),IF(E87="Semiannual",IF(MONTH(TODAY())&lt;=6,YEAR(TODAY())&amp;"-H1",YEAR(TODAY())&amp;"-H2"),IF(E87="Annual",YEAR(TODAY()),IF(E87="One-time","One-time","Custom"))))))))</x:f>
      </x:c>
      <x:c r="H87" t="str">
        <x:f>IF(A87="","",IF('Benefits Master'!M87&lt;&gt;"",'Benefits Master'!M87,IF('Benefits Master'!L87="End of Month",EOMONTH(TODAY(),0),IF('Benefits Master'!L87="End of Quarter",EOMONTH(DATE(YEAR(TODAY()),ROUNDUP(MONTH(TODAY())/3,0)*3,1),0),IF('Benefits Master'!L87="June 30",DATE(YEAR(TODAY()),6,30),IF('Benefits Master'!L87="Dec 31",DATE(YEAR(TODAY()),12,31),IF('Benefits Master'!L87="Card Anniversary","Enter open date",IF('Benefits Master'!L87="Specific Date","Set specific date",DATE(YEAR(TODAY()),12,31)))))))))</x:f>
      </x:c>
      <x:c r="I87" t="str">
        <x:f>IF(A87="","",'Benefits Master'!H87)</x:f>
      </x:c>
      <x:c r="J87" t="str">
        <x:f>IF(A87="","",SUMIFS('Benefit Usage Log'!$H:$H,'Benefit Usage Log'!$E:$E,A87,'Benefit Usage Log'!$G:$G,G87))</x:f>
      </x:c>
      <x:c r="K87" t="str">
        <x:f>IF(A87="","",MAX(0,I87-J87))</x:f>
      </x:c>
      <x:c r="L87" t="str">
        <x:f>IF(A87="","",IF(I87=0,0,MIN(1,J87/I87)))</x:f>
      </x:c>
      <x:c r="M87" t="str">
        <x:f>IF(A87="","",IF(ISNUMBER(H87)=FALSE,"Review Terms",IF(J87&gt;=I87,"Used",IF(AND(J87&gt;0,J87&lt;I87,H87&lt;TODAY()),"Missed",IF(AND(J87=0,H87&lt;TODAY()),"Missed",IF(AND(I87-J87&gt;0,H87-TODAY()&lt;='Benefits Master'!N87),"Expiring Soon",IF(J87&gt;0,"Partially Used","Not Used")))))))</x:f>
      </x:c>
      <x:c r="N87" t="str">
        <x:f>IF(A87="","",IF(ISNUMBER(H87),H87-TODAY(),""))</x:f>
      </x:c>
      <x:c r="O87" t="str">
        <x:f>IF(A87="","",'Benefits Master'!P87)</x:f>
      </x:c>
      <x:c r="P87" t="str">
        <x:f>IF(A87="","",'Benefits Master'!Q87)</x:f>
      </x:c>
      <x:c r="Q87" t="str">
        <x:f>IF(A87="","",'Benefits Master'!S87)</x:f>
      </x:c>
    </x:row>
    <x:row r="88">
      <x:c r="A88" t="str">
        <x:f>IF('Benefits Master'!A88="","",'Benefits Master'!A88)</x:f>
      </x:c>
      <x:c r="B88" t="str">
        <x:f>IF(A88="","",'Benefits Master'!B88)</x:f>
      </x:c>
      <x:c r="C88" t="str">
        <x:f>IF(A88="","",'Benefits Master'!D88)</x:f>
      </x:c>
      <x:c r="D88" t="str">
        <x:f>IF(A88="","",'Benefits Master'!E88)</x:f>
      </x:c>
      <x:c r="E88" t="str">
        <x:f>IF(A88="","",'Benefits Master'!J88)</x:f>
      </x:c>
      <x:c r="F88" t="str">
        <x:f>IF(A88="","",'Benefits Master'!K88)</x:f>
      </x:c>
      <x:c r="G88" t="str">
        <x:f>IF(A88="","",IF(F88="Jan-Jun",YEAR(TODAY())&amp;"-H1",IF(F88="Jul-Dec",YEAR(TODAY())&amp;"-H2",IF(E88="Monthly",TEXT(TODAY(),"yyyy-mm"),IF(E88="Quarterly",YEAR(TODAY())&amp;"-Q"&amp;ROUNDUP(MONTH(TODAY())/3,0),IF(E88="Semiannual",IF(MONTH(TODAY())&lt;=6,YEAR(TODAY())&amp;"-H1",YEAR(TODAY())&amp;"-H2"),IF(E88="Annual",YEAR(TODAY()),IF(E88="One-time","One-time","Custom"))))))))</x:f>
      </x:c>
      <x:c r="H88" t="str">
        <x:f>IF(A88="","",IF('Benefits Master'!M88&lt;&gt;"",'Benefits Master'!M88,IF('Benefits Master'!L88="End of Month",EOMONTH(TODAY(),0),IF('Benefits Master'!L88="End of Quarter",EOMONTH(DATE(YEAR(TODAY()),ROUNDUP(MONTH(TODAY())/3,0)*3,1),0),IF('Benefits Master'!L88="June 30",DATE(YEAR(TODAY()),6,30),IF('Benefits Master'!L88="Dec 31",DATE(YEAR(TODAY()),12,31),IF('Benefits Master'!L88="Card Anniversary","Enter open date",IF('Benefits Master'!L88="Specific Date","Set specific date",DATE(YEAR(TODAY()),12,31)))))))))</x:f>
      </x:c>
      <x:c r="I88" t="str">
        <x:f>IF(A88="","",'Benefits Master'!H88)</x:f>
      </x:c>
      <x:c r="J88" t="str">
        <x:f>IF(A88="","",SUMIFS('Benefit Usage Log'!$H:$H,'Benefit Usage Log'!$E:$E,A88,'Benefit Usage Log'!$G:$G,G88))</x:f>
      </x:c>
      <x:c r="K88" t="str">
        <x:f>IF(A88="","",MAX(0,I88-J88))</x:f>
      </x:c>
      <x:c r="L88" t="str">
        <x:f>IF(A88="","",IF(I88=0,0,MIN(1,J88/I88)))</x:f>
      </x:c>
      <x:c r="M88" t="str">
        <x:f>IF(A88="","",IF(ISNUMBER(H88)=FALSE,"Review Terms",IF(J88&gt;=I88,"Used",IF(AND(J88&gt;0,J88&lt;I88,H88&lt;TODAY()),"Missed",IF(AND(J88=0,H88&lt;TODAY()),"Missed",IF(AND(I88-J88&gt;0,H88-TODAY()&lt;='Benefits Master'!N88),"Expiring Soon",IF(J88&gt;0,"Partially Used","Not Used")))))))</x:f>
      </x:c>
      <x:c r="N88" t="str">
        <x:f>IF(A88="","",IF(ISNUMBER(H88),H88-TODAY(),""))</x:f>
      </x:c>
      <x:c r="O88" t="str">
        <x:f>IF(A88="","",'Benefits Master'!P88)</x:f>
      </x:c>
      <x:c r="P88" t="str">
        <x:f>IF(A88="","",'Benefits Master'!Q88)</x:f>
      </x:c>
      <x:c r="Q88" t="str">
        <x:f>IF(A88="","",'Benefits Master'!S88)</x:f>
      </x:c>
    </x:row>
    <x:row r="89">
      <x:c r="A89" t="str">
        <x:f>IF('Benefits Master'!A89="","",'Benefits Master'!A89)</x:f>
      </x:c>
      <x:c r="B89" t="str">
        <x:f>IF(A89="","",'Benefits Master'!B89)</x:f>
      </x:c>
      <x:c r="C89" t="str">
        <x:f>IF(A89="","",'Benefits Master'!D89)</x:f>
      </x:c>
      <x:c r="D89" t="str">
        <x:f>IF(A89="","",'Benefits Master'!E89)</x:f>
      </x:c>
      <x:c r="E89" t="str">
        <x:f>IF(A89="","",'Benefits Master'!J89)</x:f>
      </x:c>
      <x:c r="F89" t="str">
        <x:f>IF(A89="","",'Benefits Master'!K89)</x:f>
      </x:c>
      <x:c r="G89" t="str">
        <x:f>IF(A89="","",IF(F89="Jan-Jun",YEAR(TODAY())&amp;"-H1",IF(F89="Jul-Dec",YEAR(TODAY())&amp;"-H2",IF(E89="Monthly",TEXT(TODAY(),"yyyy-mm"),IF(E89="Quarterly",YEAR(TODAY())&amp;"-Q"&amp;ROUNDUP(MONTH(TODAY())/3,0),IF(E89="Semiannual",IF(MONTH(TODAY())&lt;=6,YEAR(TODAY())&amp;"-H1",YEAR(TODAY())&amp;"-H2"),IF(E89="Annual",YEAR(TODAY()),IF(E89="One-time","One-time","Custom"))))))))</x:f>
      </x:c>
      <x:c r="H89" t="str">
        <x:f>IF(A89="","",IF('Benefits Master'!M89&lt;&gt;"",'Benefits Master'!M89,IF('Benefits Master'!L89="End of Month",EOMONTH(TODAY(),0),IF('Benefits Master'!L89="End of Quarter",EOMONTH(DATE(YEAR(TODAY()),ROUNDUP(MONTH(TODAY())/3,0)*3,1),0),IF('Benefits Master'!L89="June 30",DATE(YEAR(TODAY()),6,30),IF('Benefits Master'!L89="Dec 31",DATE(YEAR(TODAY()),12,31),IF('Benefits Master'!L89="Card Anniversary","Enter open date",IF('Benefits Master'!L89="Specific Date","Set specific date",DATE(YEAR(TODAY()),12,31)))))))))</x:f>
      </x:c>
      <x:c r="I89" t="str">
        <x:f>IF(A89="","",'Benefits Master'!H89)</x:f>
      </x:c>
      <x:c r="J89" t="str">
        <x:f>IF(A89="","",SUMIFS('Benefit Usage Log'!$H:$H,'Benefit Usage Log'!$E:$E,A89,'Benefit Usage Log'!$G:$G,G89))</x:f>
      </x:c>
      <x:c r="K89" t="str">
        <x:f>IF(A89="","",MAX(0,I89-J89))</x:f>
      </x:c>
      <x:c r="L89" t="str">
        <x:f>IF(A89="","",IF(I89=0,0,MIN(1,J89/I89)))</x:f>
      </x:c>
      <x:c r="M89" t="str">
        <x:f>IF(A89="","",IF(ISNUMBER(H89)=FALSE,"Review Terms",IF(J89&gt;=I89,"Used",IF(AND(J89&gt;0,J89&lt;I89,H89&lt;TODAY()),"Missed",IF(AND(J89=0,H89&lt;TODAY()),"Missed",IF(AND(I89-J89&gt;0,H89-TODAY()&lt;='Benefits Master'!N89),"Expiring Soon",IF(J89&gt;0,"Partially Used","Not Used")))))))</x:f>
      </x:c>
      <x:c r="N89" t="str">
        <x:f>IF(A89="","",IF(ISNUMBER(H89),H89-TODAY(),""))</x:f>
      </x:c>
      <x:c r="O89" t="str">
        <x:f>IF(A89="","",'Benefits Master'!P89)</x:f>
      </x:c>
      <x:c r="P89" t="str">
        <x:f>IF(A89="","",'Benefits Master'!Q89)</x:f>
      </x:c>
      <x:c r="Q89" t="str">
        <x:f>IF(A89="","",'Benefits Master'!S89)</x:f>
      </x:c>
    </x:row>
    <x:row r="90">
      <x:c r="A90" t="str">
        <x:f>IF('Benefits Master'!A90="","",'Benefits Master'!A90)</x:f>
      </x:c>
      <x:c r="B90" t="str">
        <x:f>IF(A90="","",'Benefits Master'!B90)</x:f>
      </x:c>
      <x:c r="C90" t="str">
        <x:f>IF(A90="","",'Benefits Master'!D90)</x:f>
      </x:c>
      <x:c r="D90" t="str">
        <x:f>IF(A90="","",'Benefits Master'!E90)</x:f>
      </x:c>
      <x:c r="E90" t="str">
        <x:f>IF(A90="","",'Benefits Master'!J90)</x:f>
      </x:c>
      <x:c r="F90" t="str">
        <x:f>IF(A90="","",'Benefits Master'!K90)</x:f>
      </x:c>
      <x:c r="G90" t="str">
        <x:f>IF(A90="","",IF(F90="Jan-Jun",YEAR(TODAY())&amp;"-H1",IF(F90="Jul-Dec",YEAR(TODAY())&amp;"-H2",IF(E90="Monthly",TEXT(TODAY(),"yyyy-mm"),IF(E90="Quarterly",YEAR(TODAY())&amp;"-Q"&amp;ROUNDUP(MONTH(TODAY())/3,0),IF(E90="Semiannual",IF(MONTH(TODAY())&lt;=6,YEAR(TODAY())&amp;"-H1",YEAR(TODAY())&amp;"-H2"),IF(E90="Annual",YEAR(TODAY()),IF(E90="One-time","One-time","Custom"))))))))</x:f>
      </x:c>
      <x:c r="H90" t="str">
        <x:f>IF(A90="","",IF('Benefits Master'!M90&lt;&gt;"",'Benefits Master'!M90,IF('Benefits Master'!L90="End of Month",EOMONTH(TODAY(),0),IF('Benefits Master'!L90="End of Quarter",EOMONTH(DATE(YEAR(TODAY()),ROUNDUP(MONTH(TODAY())/3,0)*3,1),0),IF('Benefits Master'!L90="June 30",DATE(YEAR(TODAY()),6,30),IF('Benefits Master'!L90="Dec 31",DATE(YEAR(TODAY()),12,31),IF('Benefits Master'!L90="Card Anniversary","Enter open date",IF('Benefits Master'!L90="Specific Date","Set specific date",DATE(YEAR(TODAY()),12,31)))))))))</x:f>
      </x:c>
      <x:c r="I90" t="str">
        <x:f>IF(A90="","",'Benefits Master'!H90)</x:f>
      </x:c>
      <x:c r="J90" t="str">
        <x:f>IF(A90="","",SUMIFS('Benefit Usage Log'!$H:$H,'Benefit Usage Log'!$E:$E,A90,'Benefit Usage Log'!$G:$G,G90))</x:f>
      </x:c>
      <x:c r="K90" t="str">
        <x:f>IF(A90="","",MAX(0,I90-J90))</x:f>
      </x:c>
      <x:c r="L90" t="str">
        <x:f>IF(A90="","",IF(I90=0,0,MIN(1,J90/I90)))</x:f>
      </x:c>
      <x:c r="M90" t="str">
        <x:f>IF(A90="","",IF(ISNUMBER(H90)=FALSE,"Review Terms",IF(J90&gt;=I90,"Used",IF(AND(J90&gt;0,J90&lt;I90,H90&lt;TODAY()),"Missed",IF(AND(J90=0,H90&lt;TODAY()),"Missed",IF(AND(I90-J90&gt;0,H90-TODAY()&lt;='Benefits Master'!N90),"Expiring Soon",IF(J90&gt;0,"Partially Used","Not Used")))))))</x:f>
      </x:c>
      <x:c r="N90" t="str">
        <x:f>IF(A90="","",IF(ISNUMBER(H90),H90-TODAY(),""))</x:f>
      </x:c>
      <x:c r="O90" t="str">
        <x:f>IF(A90="","",'Benefits Master'!P90)</x:f>
      </x:c>
      <x:c r="P90" t="str">
        <x:f>IF(A90="","",'Benefits Master'!Q90)</x:f>
      </x:c>
      <x:c r="Q90" t="str">
        <x:f>IF(A90="","",'Benefits Master'!S90)</x:f>
      </x:c>
    </x:row>
    <x:row r="91">
      <x:c r="A91" t="str">
        <x:f>IF('Benefits Master'!A91="","",'Benefits Master'!A91)</x:f>
      </x:c>
      <x:c r="B91" t="str">
        <x:f>IF(A91="","",'Benefits Master'!B91)</x:f>
      </x:c>
      <x:c r="C91" t="str">
        <x:f>IF(A91="","",'Benefits Master'!D91)</x:f>
      </x:c>
      <x:c r="D91" t="str">
        <x:f>IF(A91="","",'Benefits Master'!E91)</x:f>
      </x:c>
      <x:c r="E91" t="str">
        <x:f>IF(A91="","",'Benefits Master'!J91)</x:f>
      </x:c>
      <x:c r="F91" t="str">
        <x:f>IF(A91="","",'Benefits Master'!K91)</x:f>
      </x:c>
      <x:c r="G91" t="str">
        <x:f>IF(A91="","",IF(F91="Jan-Jun",YEAR(TODAY())&amp;"-H1",IF(F91="Jul-Dec",YEAR(TODAY())&amp;"-H2",IF(E91="Monthly",TEXT(TODAY(),"yyyy-mm"),IF(E91="Quarterly",YEAR(TODAY())&amp;"-Q"&amp;ROUNDUP(MONTH(TODAY())/3,0),IF(E91="Semiannual",IF(MONTH(TODAY())&lt;=6,YEAR(TODAY())&amp;"-H1",YEAR(TODAY())&amp;"-H2"),IF(E91="Annual",YEAR(TODAY()),IF(E91="One-time","One-time","Custom"))))))))</x:f>
      </x:c>
      <x:c r="H91" t="str">
        <x:f>IF(A91="","",IF('Benefits Master'!M91&lt;&gt;"",'Benefits Master'!M91,IF('Benefits Master'!L91="End of Month",EOMONTH(TODAY(),0),IF('Benefits Master'!L91="End of Quarter",EOMONTH(DATE(YEAR(TODAY()),ROUNDUP(MONTH(TODAY())/3,0)*3,1),0),IF('Benefits Master'!L91="June 30",DATE(YEAR(TODAY()),6,30),IF('Benefits Master'!L91="Dec 31",DATE(YEAR(TODAY()),12,31),IF('Benefits Master'!L91="Card Anniversary","Enter open date",IF('Benefits Master'!L91="Specific Date","Set specific date",DATE(YEAR(TODAY()),12,31)))))))))</x:f>
      </x:c>
      <x:c r="I91" t="str">
        <x:f>IF(A91="","",'Benefits Master'!H91)</x:f>
      </x:c>
      <x:c r="J91" t="str">
        <x:f>IF(A91="","",SUMIFS('Benefit Usage Log'!$H:$H,'Benefit Usage Log'!$E:$E,A91,'Benefit Usage Log'!$G:$G,G91))</x:f>
      </x:c>
      <x:c r="K91" t="str">
        <x:f>IF(A91="","",MAX(0,I91-J91))</x:f>
      </x:c>
      <x:c r="L91" t="str">
        <x:f>IF(A91="","",IF(I91=0,0,MIN(1,J91/I91)))</x:f>
      </x:c>
      <x:c r="M91" t="str">
        <x:f>IF(A91="","",IF(ISNUMBER(H91)=FALSE,"Review Terms",IF(J91&gt;=I91,"Used",IF(AND(J91&gt;0,J91&lt;I91,H91&lt;TODAY()),"Missed",IF(AND(J91=0,H91&lt;TODAY()),"Missed",IF(AND(I91-J91&gt;0,H91-TODAY()&lt;='Benefits Master'!N91),"Expiring Soon",IF(J91&gt;0,"Partially Used","Not Used")))))))</x:f>
      </x:c>
      <x:c r="N91" t="str">
        <x:f>IF(A91="","",IF(ISNUMBER(H91),H91-TODAY(),""))</x:f>
      </x:c>
      <x:c r="O91" t="str">
        <x:f>IF(A91="","",'Benefits Master'!P91)</x:f>
      </x:c>
      <x:c r="P91" t="str">
        <x:f>IF(A91="","",'Benefits Master'!Q91)</x:f>
      </x:c>
      <x:c r="Q91" t="str">
        <x:f>IF(A91="","",'Benefits Master'!S91)</x:f>
      </x:c>
    </x:row>
    <x:row r="92">
      <x:c r="A92" t="str">
        <x:f>IF('Benefits Master'!A92="","",'Benefits Master'!A92)</x:f>
      </x:c>
      <x:c r="B92" t="str">
        <x:f>IF(A92="","",'Benefits Master'!B92)</x:f>
      </x:c>
      <x:c r="C92" t="str">
        <x:f>IF(A92="","",'Benefits Master'!D92)</x:f>
      </x:c>
      <x:c r="D92" t="str">
        <x:f>IF(A92="","",'Benefits Master'!E92)</x:f>
      </x:c>
      <x:c r="E92" t="str">
        <x:f>IF(A92="","",'Benefits Master'!J92)</x:f>
      </x:c>
      <x:c r="F92" t="str">
        <x:f>IF(A92="","",'Benefits Master'!K92)</x:f>
      </x:c>
      <x:c r="G92" t="str">
        <x:f>IF(A92="","",IF(F92="Jan-Jun",YEAR(TODAY())&amp;"-H1",IF(F92="Jul-Dec",YEAR(TODAY())&amp;"-H2",IF(E92="Monthly",TEXT(TODAY(),"yyyy-mm"),IF(E92="Quarterly",YEAR(TODAY())&amp;"-Q"&amp;ROUNDUP(MONTH(TODAY())/3,0),IF(E92="Semiannual",IF(MONTH(TODAY())&lt;=6,YEAR(TODAY())&amp;"-H1",YEAR(TODAY())&amp;"-H2"),IF(E92="Annual",YEAR(TODAY()),IF(E92="One-time","One-time","Custom"))))))))</x:f>
      </x:c>
      <x:c r="H92" t="str">
        <x:f>IF(A92="","",IF('Benefits Master'!M92&lt;&gt;"",'Benefits Master'!M92,IF('Benefits Master'!L92="End of Month",EOMONTH(TODAY(),0),IF('Benefits Master'!L92="End of Quarter",EOMONTH(DATE(YEAR(TODAY()),ROUNDUP(MONTH(TODAY())/3,0)*3,1),0),IF('Benefits Master'!L92="June 30",DATE(YEAR(TODAY()),6,30),IF('Benefits Master'!L92="Dec 31",DATE(YEAR(TODAY()),12,31),IF('Benefits Master'!L92="Card Anniversary","Enter open date",IF('Benefits Master'!L92="Specific Date","Set specific date",DATE(YEAR(TODAY()),12,31)))))))))</x:f>
      </x:c>
      <x:c r="I92" t="str">
        <x:f>IF(A92="","",'Benefits Master'!H92)</x:f>
      </x:c>
      <x:c r="J92" t="str">
        <x:f>IF(A92="","",SUMIFS('Benefit Usage Log'!$H:$H,'Benefit Usage Log'!$E:$E,A92,'Benefit Usage Log'!$G:$G,G92))</x:f>
      </x:c>
      <x:c r="K92" t="str">
        <x:f>IF(A92="","",MAX(0,I92-J92))</x:f>
      </x:c>
      <x:c r="L92" t="str">
        <x:f>IF(A92="","",IF(I92=0,0,MIN(1,J92/I92)))</x:f>
      </x:c>
      <x:c r="M92" t="str">
        <x:f>IF(A92="","",IF(ISNUMBER(H92)=FALSE,"Review Terms",IF(J92&gt;=I92,"Used",IF(AND(J92&gt;0,J92&lt;I92,H92&lt;TODAY()),"Missed",IF(AND(J92=0,H92&lt;TODAY()),"Missed",IF(AND(I92-J92&gt;0,H92-TODAY()&lt;='Benefits Master'!N92),"Expiring Soon",IF(J92&gt;0,"Partially Used","Not Used")))))))</x:f>
      </x:c>
      <x:c r="N92" t="str">
        <x:f>IF(A92="","",IF(ISNUMBER(H92),H92-TODAY(),""))</x:f>
      </x:c>
      <x:c r="O92" t="str">
        <x:f>IF(A92="","",'Benefits Master'!P92)</x:f>
      </x:c>
      <x:c r="P92" t="str">
        <x:f>IF(A92="","",'Benefits Master'!Q92)</x:f>
      </x:c>
      <x:c r="Q92" t="str">
        <x:f>IF(A92="","",'Benefits Master'!S92)</x:f>
      </x:c>
    </x:row>
    <x:row r="93">
      <x:c r="A93" t="str">
        <x:f>IF('Benefits Master'!A93="","",'Benefits Master'!A93)</x:f>
      </x:c>
      <x:c r="B93" t="str">
        <x:f>IF(A93="","",'Benefits Master'!B93)</x:f>
      </x:c>
      <x:c r="C93" t="str">
        <x:f>IF(A93="","",'Benefits Master'!D93)</x:f>
      </x:c>
      <x:c r="D93" t="str">
        <x:f>IF(A93="","",'Benefits Master'!E93)</x:f>
      </x:c>
      <x:c r="E93" t="str">
        <x:f>IF(A93="","",'Benefits Master'!J93)</x:f>
      </x:c>
      <x:c r="F93" t="str">
        <x:f>IF(A93="","",'Benefits Master'!K93)</x:f>
      </x:c>
      <x:c r="G93" t="str">
        <x:f>IF(A93="","",IF(F93="Jan-Jun",YEAR(TODAY())&amp;"-H1",IF(F93="Jul-Dec",YEAR(TODAY())&amp;"-H2",IF(E93="Monthly",TEXT(TODAY(),"yyyy-mm"),IF(E93="Quarterly",YEAR(TODAY())&amp;"-Q"&amp;ROUNDUP(MONTH(TODAY())/3,0),IF(E93="Semiannual",IF(MONTH(TODAY())&lt;=6,YEAR(TODAY())&amp;"-H1",YEAR(TODAY())&amp;"-H2"),IF(E93="Annual",YEAR(TODAY()),IF(E93="One-time","One-time","Custom"))))))))</x:f>
      </x:c>
      <x:c r="H93" t="str">
        <x:f>IF(A93="","",IF('Benefits Master'!M93&lt;&gt;"",'Benefits Master'!M93,IF('Benefits Master'!L93="End of Month",EOMONTH(TODAY(),0),IF('Benefits Master'!L93="End of Quarter",EOMONTH(DATE(YEAR(TODAY()),ROUNDUP(MONTH(TODAY())/3,0)*3,1),0),IF('Benefits Master'!L93="June 30",DATE(YEAR(TODAY()),6,30),IF('Benefits Master'!L93="Dec 31",DATE(YEAR(TODAY()),12,31),IF('Benefits Master'!L93="Card Anniversary","Enter open date",IF('Benefits Master'!L93="Specific Date","Set specific date",DATE(YEAR(TODAY()),12,31)))))))))</x:f>
      </x:c>
      <x:c r="I93" t="str">
        <x:f>IF(A93="","",'Benefits Master'!H93)</x:f>
      </x:c>
      <x:c r="J93" t="str">
        <x:f>IF(A93="","",SUMIFS('Benefit Usage Log'!$H:$H,'Benefit Usage Log'!$E:$E,A93,'Benefit Usage Log'!$G:$G,G93))</x:f>
      </x:c>
      <x:c r="K93" t="str">
        <x:f>IF(A93="","",MAX(0,I93-J93))</x:f>
      </x:c>
      <x:c r="L93" t="str">
        <x:f>IF(A93="","",IF(I93=0,0,MIN(1,J93/I93)))</x:f>
      </x:c>
      <x:c r="M93" t="str">
        <x:f>IF(A93="","",IF(ISNUMBER(H93)=FALSE,"Review Terms",IF(J93&gt;=I93,"Used",IF(AND(J93&gt;0,J93&lt;I93,H93&lt;TODAY()),"Missed",IF(AND(J93=0,H93&lt;TODAY()),"Missed",IF(AND(I93-J93&gt;0,H93-TODAY()&lt;='Benefits Master'!N93),"Expiring Soon",IF(J93&gt;0,"Partially Used","Not Used")))))))</x:f>
      </x:c>
      <x:c r="N93" t="str">
        <x:f>IF(A93="","",IF(ISNUMBER(H93),H93-TODAY(),""))</x:f>
      </x:c>
      <x:c r="O93" t="str">
        <x:f>IF(A93="","",'Benefits Master'!P93)</x:f>
      </x:c>
      <x:c r="P93" t="str">
        <x:f>IF(A93="","",'Benefits Master'!Q93)</x:f>
      </x:c>
      <x:c r="Q93" t="str">
        <x:f>IF(A93="","",'Benefits Master'!S93)</x:f>
      </x:c>
    </x:row>
    <x:row r="94">
      <x:c r="A94" t="str">
        <x:f>IF('Benefits Master'!A94="","",'Benefits Master'!A94)</x:f>
      </x:c>
      <x:c r="B94" t="str">
        <x:f>IF(A94="","",'Benefits Master'!B94)</x:f>
      </x:c>
      <x:c r="C94" t="str">
        <x:f>IF(A94="","",'Benefits Master'!D94)</x:f>
      </x:c>
      <x:c r="D94" t="str">
        <x:f>IF(A94="","",'Benefits Master'!E94)</x:f>
      </x:c>
      <x:c r="E94" t="str">
        <x:f>IF(A94="","",'Benefits Master'!J94)</x:f>
      </x:c>
      <x:c r="F94" t="str">
        <x:f>IF(A94="","",'Benefits Master'!K94)</x:f>
      </x:c>
      <x:c r="G94" t="str">
        <x:f>IF(A94="","",IF(F94="Jan-Jun",YEAR(TODAY())&amp;"-H1",IF(F94="Jul-Dec",YEAR(TODAY())&amp;"-H2",IF(E94="Monthly",TEXT(TODAY(),"yyyy-mm"),IF(E94="Quarterly",YEAR(TODAY())&amp;"-Q"&amp;ROUNDUP(MONTH(TODAY())/3,0),IF(E94="Semiannual",IF(MONTH(TODAY())&lt;=6,YEAR(TODAY())&amp;"-H1",YEAR(TODAY())&amp;"-H2"),IF(E94="Annual",YEAR(TODAY()),IF(E94="One-time","One-time","Custom"))))))))</x:f>
      </x:c>
      <x:c r="H94" t="str">
        <x:f>IF(A94="","",IF('Benefits Master'!M94&lt;&gt;"",'Benefits Master'!M94,IF('Benefits Master'!L94="End of Month",EOMONTH(TODAY(),0),IF('Benefits Master'!L94="End of Quarter",EOMONTH(DATE(YEAR(TODAY()),ROUNDUP(MONTH(TODAY())/3,0)*3,1),0),IF('Benefits Master'!L94="June 30",DATE(YEAR(TODAY()),6,30),IF('Benefits Master'!L94="Dec 31",DATE(YEAR(TODAY()),12,31),IF('Benefits Master'!L94="Card Anniversary","Enter open date",IF('Benefits Master'!L94="Specific Date","Set specific date",DATE(YEAR(TODAY()),12,31)))))))))</x:f>
      </x:c>
      <x:c r="I94" t="str">
        <x:f>IF(A94="","",'Benefits Master'!H94)</x:f>
      </x:c>
      <x:c r="J94" t="str">
        <x:f>IF(A94="","",SUMIFS('Benefit Usage Log'!$H:$H,'Benefit Usage Log'!$E:$E,A94,'Benefit Usage Log'!$G:$G,G94))</x:f>
      </x:c>
      <x:c r="K94" t="str">
        <x:f>IF(A94="","",MAX(0,I94-J94))</x:f>
      </x:c>
      <x:c r="L94" t="str">
        <x:f>IF(A94="","",IF(I94=0,0,MIN(1,J94/I94)))</x:f>
      </x:c>
      <x:c r="M94" t="str">
        <x:f>IF(A94="","",IF(ISNUMBER(H94)=FALSE,"Review Terms",IF(J94&gt;=I94,"Used",IF(AND(J94&gt;0,J94&lt;I94,H94&lt;TODAY()),"Missed",IF(AND(J94=0,H94&lt;TODAY()),"Missed",IF(AND(I94-J94&gt;0,H94-TODAY()&lt;='Benefits Master'!N94),"Expiring Soon",IF(J94&gt;0,"Partially Used","Not Used")))))))</x:f>
      </x:c>
      <x:c r="N94" t="str">
        <x:f>IF(A94="","",IF(ISNUMBER(H94),H94-TODAY(),""))</x:f>
      </x:c>
      <x:c r="O94" t="str">
        <x:f>IF(A94="","",'Benefits Master'!P94)</x:f>
      </x:c>
      <x:c r="P94" t="str">
        <x:f>IF(A94="","",'Benefits Master'!Q94)</x:f>
      </x:c>
      <x:c r="Q94" t="str">
        <x:f>IF(A94="","",'Benefits Master'!S94)</x:f>
      </x:c>
    </x:row>
    <x:row r="95">
      <x:c r="A95" t="str">
        <x:f>IF('Benefits Master'!A95="","",'Benefits Master'!A95)</x:f>
      </x:c>
      <x:c r="B95" t="str">
        <x:f>IF(A95="","",'Benefits Master'!B95)</x:f>
      </x:c>
      <x:c r="C95" t="str">
        <x:f>IF(A95="","",'Benefits Master'!D95)</x:f>
      </x:c>
      <x:c r="D95" t="str">
        <x:f>IF(A95="","",'Benefits Master'!E95)</x:f>
      </x:c>
      <x:c r="E95" t="str">
        <x:f>IF(A95="","",'Benefits Master'!J95)</x:f>
      </x:c>
      <x:c r="F95" t="str">
        <x:f>IF(A95="","",'Benefits Master'!K95)</x:f>
      </x:c>
      <x:c r="G95" t="str">
        <x:f>IF(A95="","",IF(F95="Jan-Jun",YEAR(TODAY())&amp;"-H1",IF(F95="Jul-Dec",YEAR(TODAY())&amp;"-H2",IF(E95="Monthly",TEXT(TODAY(),"yyyy-mm"),IF(E95="Quarterly",YEAR(TODAY())&amp;"-Q"&amp;ROUNDUP(MONTH(TODAY())/3,0),IF(E95="Semiannual",IF(MONTH(TODAY())&lt;=6,YEAR(TODAY())&amp;"-H1",YEAR(TODAY())&amp;"-H2"),IF(E95="Annual",YEAR(TODAY()),IF(E95="One-time","One-time","Custom"))))))))</x:f>
      </x:c>
      <x:c r="H95" t="str">
        <x:f>IF(A95="","",IF('Benefits Master'!M95&lt;&gt;"",'Benefits Master'!M95,IF('Benefits Master'!L95="End of Month",EOMONTH(TODAY(),0),IF('Benefits Master'!L95="End of Quarter",EOMONTH(DATE(YEAR(TODAY()),ROUNDUP(MONTH(TODAY())/3,0)*3,1),0),IF('Benefits Master'!L95="June 30",DATE(YEAR(TODAY()),6,30),IF('Benefits Master'!L95="Dec 31",DATE(YEAR(TODAY()),12,31),IF('Benefits Master'!L95="Card Anniversary","Enter open date",IF('Benefits Master'!L95="Specific Date","Set specific date",DATE(YEAR(TODAY()),12,31)))))))))</x:f>
      </x:c>
      <x:c r="I95" t="str">
        <x:f>IF(A95="","",'Benefits Master'!H95)</x:f>
      </x:c>
      <x:c r="J95" t="str">
        <x:f>IF(A95="","",SUMIFS('Benefit Usage Log'!$H:$H,'Benefit Usage Log'!$E:$E,A95,'Benefit Usage Log'!$G:$G,G95))</x:f>
      </x:c>
      <x:c r="K95" t="str">
        <x:f>IF(A95="","",MAX(0,I95-J95))</x:f>
      </x:c>
      <x:c r="L95" t="str">
        <x:f>IF(A95="","",IF(I95=0,0,MIN(1,J95/I95)))</x:f>
      </x:c>
      <x:c r="M95" t="str">
        <x:f>IF(A95="","",IF(ISNUMBER(H95)=FALSE,"Review Terms",IF(J95&gt;=I95,"Used",IF(AND(J95&gt;0,J95&lt;I95,H95&lt;TODAY()),"Missed",IF(AND(J95=0,H95&lt;TODAY()),"Missed",IF(AND(I95-J95&gt;0,H95-TODAY()&lt;='Benefits Master'!N95),"Expiring Soon",IF(J95&gt;0,"Partially Used","Not Used")))))))</x:f>
      </x:c>
      <x:c r="N95" t="str">
        <x:f>IF(A95="","",IF(ISNUMBER(H95),H95-TODAY(),""))</x:f>
      </x:c>
      <x:c r="O95" t="str">
        <x:f>IF(A95="","",'Benefits Master'!P95)</x:f>
      </x:c>
      <x:c r="P95" t="str">
        <x:f>IF(A95="","",'Benefits Master'!Q95)</x:f>
      </x:c>
      <x:c r="Q95" t="str">
        <x:f>IF(A95="","",'Benefits Master'!S95)</x:f>
      </x:c>
    </x:row>
    <x:row r="96">
      <x:c r="A96" t="str">
        <x:f>IF('Benefits Master'!A96="","",'Benefits Master'!A96)</x:f>
      </x:c>
      <x:c r="B96" t="str">
        <x:f>IF(A96="","",'Benefits Master'!B96)</x:f>
      </x:c>
      <x:c r="C96" t="str">
        <x:f>IF(A96="","",'Benefits Master'!D96)</x:f>
      </x:c>
      <x:c r="D96" t="str">
        <x:f>IF(A96="","",'Benefits Master'!E96)</x:f>
      </x:c>
      <x:c r="E96" t="str">
        <x:f>IF(A96="","",'Benefits Master'!J96)</x:f>
      </x:c>
      <x:c r="F96" t="str">
        <x:f>IF(A96="","",'Benefits Master'!K96)</x:f>
      </x:c>
      <x:c r="G96" t="str">
        <x:f>IF(A96="","",IF(F96="Jan-Jun",YEAR(TODAY())&amp;"-H1",IF(F96="Jul-Dec",YEAR(TODAY())&amp;"-H2",IF(E96="Monthly",TEXT(TODAY(),"yyyy-mm"),IF(E96="Quarterly",YEAR(TODAY())&amp;"-Q"&amp;ROUNDUP(MONTH(TODAY())/3,0),IF(E96="Semiannual",IF(MONTH(TODAY())&lt;=6,YEAR(TODAY())&amp;"-H1",YEAR(TODAY())&amp;"-H2"),IF(E96="Annual",YEAR(TODAY()),IF(E96="One-time","One-time","Custom"))))))))</x:f>
      </x:c>
      <x:c r="H96" t="str">
        <x:f>IF(A96="","",IF('Benefits Master'!M96&lt;&gt;"",'Benefits Master'!M96,IF('Benefits Master'!L96="End of Month",EOMONTH(TODAY(),0),IF('Benefits Master'!L96="End of Quarter",EOMONTH(DATE(YEAR(TODAY()),ROUNDUP(MONTH(TODAY())/3,0)*3,1),0),IF('Benefits Master'!L96="June 30",DATE(YEAR(TODAY()),6,30),IF('Benefits Master'!L96="Dec 31",DATE(YEAR(TODAY()),12,31),IF('Benefits Master'!L96="Card Anniversary","Enter open date",IF('Benefits Master'!L96="Specific Date","Set specific date",DATE(YEAR(TODAY()),12,31)))))))))</x:f>
      </x:c>
      <x:c r="I96" t="str">
        <x:f>IF(A96="","",'Benefits Master'!H96)</x:f>
      </x:c>
      <x:c r="J96" t="str">
        <x:f>IF(A96="","",SUMIFS('Benefit Usage Log'!$H:$H,'Benefit Usage Log'!$E:$E,A96,'Benefit Usage Log'!$G:$G,G96))</x:f>
      </x:c>
      <x:c r="K96" t="str">
        <x:f>IF(A96="","",MAX(0,I96-J96))</x:f>
      </x:c>
      <x:c r="L96" t="str">
        <x:f>IF(A96="","",IF(I96=0,0,MIN(1,J96/I96)))</x:f>
      </x:c>
      <x:c r="M96" t="str">
        <x:f>IF(A96="","",IF(ISNUMBER(H96)=FALSE,"Review Terms",IF(J96&gt;=I96,"Used",IF(AND(J96&gt;0,J96&lt;I96,H96&lt;TODAY()),"Missed",IF(AND(J96=0,H96&lt;TODAY()),"Missed",IF(AND(I96-J96&gt;0,H96-TODAY()&lt;='Benefits Master'!N96),"Expiring Soon",IF(J96&gt;0,"Partially Used","Not Used")))))))</x:f>
      </x:c>
      <x:c r="N96" t="str">
        <x:f>IF(A96="","",IF(ISNUMBER(H96),H96-TODAY(),""))</x:f>
      </x:c>
      <x:c r="O96" t="str">
        <x:f>IF(A96="","",'Benefits Master'!P96)</x:f>
      </x:c>
      <x:c r="P96" t="str">
        <x:f>IF(A96="","",'Benefits Master'!Q96)</x:f>
      </x:c>
      <x:c r="Q96" t="str">
        <x:f>IF(A96="","",'Benefits Master'!S96)</x:f>
      </x:c>
    </x:row>
    <x:row r="97">
      <x:c r="A97" t="str">
        <x:f>IF('Benefits Master'!A97="","",'Benefits Master'!A97)</x:f>
      </x:c>
      <x:c r="B97" t="str">
        <x:f>IF(A97="","",'Benefits Master'!B97)</x:f>
      </x:c>
      <x:c r="C97" t="str">
        <x:f>IF(A97="","",'Benefits Master'!D97)</x:f>
      </x:c>
      <x:c r="D97" t="str">
        <x:f>IF(A97="","",'Benefits Master'!E97)</x:f>
      </x:c>
      <x:c r="E97" t="str">
        <x:f>IF(A97="","",'Benefits Master'!J97)</x:f>
      </x:c>
      <x:c r="F97" t="str">
        <x:f>IF(A97="","",'Benefits Master'!K97)</x:f>
      </x:c>
      <x:c r="G97" t="str">
        <x:f>IF(A97="","",IF(F97="Jan-Jun",YEAR(TODAY())&amp;"-H1",IF(F97="Jul-Dec",YEAR(TODAY())&amp;"-H2",IF(E97="Monthly",TEXT(TODAY(),"yyyy-mm"),IF(E97="Quarterly",YEAR(TODAY())&amp;"-Q"&amp;ROUNDUP(MONTH(TODAY())/3,0),IF(E97="Semiannual",IF(MONTH(TODAY())&lt;=6,YEAR(TODAY())&amp;"-H1",YEAR(TODAY())&amp;"-H2"),IF(E97="Annual",YEAR(TODAY()),IF(E97="One-time","One-time","Custom"))))))))</x:f>
      </x:c>
      <x:c r="H97" t="str">
        <x:f>IF(A97="","",IF('Benefits Master'!M97&lt;&gt;"",'Benefits Master'!M97,IF('Benefits Master'!L97="End of Month",EOMONTH(TODAY(),0),IF('Benefits Master'!L97="End of Quarter",EOMONTH(DATE(YEAR(TODAY()),ROUNDUP(MONTH(TODAY())/3,0)*3,1),0),IF('Benefits Master'!L97="June 30",DATE(YEAR(TODAY()),6,30),IF('Benefits Master'!L97="Dec 31",DATE(YEAR(TODAY()),12,31),IF('Benefits Master'!L97="Card Anniversary","Enter open date",IF('Benefits Master'!L97="Specific Date","Set specific date",DATE(YEAR(TODAY()),12,31)))))))))</x:f>
      </x:c>
      <x:c r="I97" t="str">
        <x:f>IF(A97="","",'Benefits Master'!H97)</x:f>
      </x:c>
      <x:c r="J97" t="str">
        <x:f>IF(A97="","",SUMIFS('Benefit Usage Log'!$H:$H,'Benefit Usage Log'!$E:$E,A97,'Benefit Usage Log'!$G:$G,G97))</x:f>
      </x:c>
      <x:c r="K97" t="str">
        <x:f>IF(A97="","",MAX(0,I97-J97))</x:f>
      </x:c>
      <x:c r="L97" t="str">
        <x:f>IF(A97="","",IF(I97=0,0,MIN(1,J97/I97)))</x:f>
      </x:c>
      <x:c r="M97" t="str">
        <x:f>IF(A97="","",IF(ISNUMBER(H97)=FALSE,"Review Terms",IF(J97&gt;=I97,"Used",IF(AND(J97&gt;0,J97&lt;I97,H97&lt;TODAY()),"Missed",IF(AND(J97=0,H97&lt;TODAY()),"Missed",IF(AND(I97-J97&gt;0,H97-TODAY()&lt;='Benefits Master'!N97),"Expiring Soon",IF(J97&gt;0,"Partially Used","Not Used")))))))</x:f>
      </x:c>
      <x:c r="N97" t="str">
        <x:f>IF(A97="","",IF(ISNUMBER(H97),H97-TODAY(),""))</x:f>
      </x:c>
      <x:c r="O97" t="str">
        <x:f>IF(A97="","",'Benefits Master'!P97)</x:f>
      </x:c>
      <x:c r="P97" t="str">
        <x:f>IF(A97="","",'Benefits Master'!Q97)</x:f>
      </x:c>
      <x:c r="Q97" t="str">
        <x:f>IF(A97="","",'Benefits Master'!S97)</x:f>
      </x:c>
    </x:row>
    <x:row r="98">
      <x:c r="A98" t="str">
        <x:f>IF('Benefits Master'!A98="","",'Benefits Master'!A98)</x:f>
      </x:c>
      <x:c r="B98" t="str">
        <x:f>IF(A98="","",'Benefits Master'!B98)</x:f>
      </x:c>
      <x:c r="C98" t="str">
        <x:f>IF(A98="","",'Benefits Master'!D98)</x:f>
      </x:c>
      <x:c r="D98" t="str">
        <x:f>IF(A98="","",'Benefits Master'!E98)</x:f>
      </x:c>
      <x:c r="E98" t="str">
        <x:f>IF(A98="","",'Benefits Master'!J98)</x:f>
      </x:c>
      <x:c r="F98" t="str">
        <x:f>IF(A98="","",'Benefits Master'!K98)</x:f>
      </x:c>
      <x:c r="G98" t="str">
        <x:f>IF(A98="","",IF(F98="Jan-Jun",YEAR(TODAY())&amp;"-H1",IF(F98="Jul-Dec",YEAR(TODAY())&amp;"-H2",IF(E98="Monthly",TEXT(TODAY(),"yyyy-mm"),IF(E98="Quarterly",YEAR(TODAY())&amp;"-Q"&amp;ROUNDUP(MONTH(TODAY())/3,0),IF(E98="Semiannual",IF(MONTH(TODAY())&lt;=6,YEAR(TODAY())&amp;"-H1",YEAR(TODAY())&amp;"-H2"),IF(E98="Annual",YEAR(TODAY()),IF(E98="One-time","One-time","Custom"))))))))</x:f>
      </x:c>
      <x:c r="H98" t="str">
        <x:f>IF(A98="","",IF('Benefits Master'!M98&lt;&gt;"",'Benefits Master'!M98,IF('Benefits Master'!L98="End of Month",EOMONTH(TODAY(),0),IF('Benefits Master'!L98="End of Quarter",EOMONTH(DATE(YEAR(TODAY()),ROUNDUP(MONTH(TODAY())/3,0)*3,1),0),IF('Benefits Master'!L98="June 30",DATE(YEAR(TODAY()),6,30),IF('Benefits Master'!L98="Dec 31",DATE(YEAR(TODAY()),12,31),IF('Benefits Master'!L98="Card Anniversary","Enter open date",IF('Benefits Master'!L98="Specific Date","Set specific date",DATE(YEAR(TODAY()),12,31)))))))))</x:f>
      </x:c>
      <x:c r="I98" t="str">
        <x:f>IF(A98="","",'Benefits Master'!H98)</x:f>
      </x:c>
      <x:c r="J98" t="str">
        <x:f>IF(A98="","",SUMIFS('Benefit Usage Log'!$H:$H,'Benefit Usage Log'!$E:$E,A98,'Benefit Usage Log'!$G:$G,G98))</x:f>
      </x:c>
      <x:c r="K98" t="str">
        <x:f>IF(A98="","",MAX(0,I98-J98))</x:f>
      </x:c>
      <x:c r="L98" t="str">
        <x:f>IF(A98="","",IF(I98=0,0,MIN(1,J98/I98)))</x:f>
      </x:c>
      <x:c r="M98" t="str">
        <x:f>IF(A98="","",IF(ISNUMBER(H98)=FALSE,"Review Terms",IF(J98&gt;=I98,"Used",IF(AND(J98&gt;0,J98&lt;I98,H98&lt;TODAY()),"Missed",IF(AND(J98=0,H98&lt;TODAY()),"Missed",IF(AND(I98-J98&gt;0,H98-TODAY()&lt;='Benefits Master'!N98),"Expiring Soon",IF(J98&gt;0,"Partially Used","Not Used")))))))</x:f>
      </x:c>
      <x:c r="N98" t="str">
        <x:f>IF(A98="","",IF(ISNUMBER(H98),H98-TODAY(),""))</x:f>
      </x:c>
      <x:c r="O98" t="str">
        <x:f>IF(A98="","",'Benefits Master'!P98)</x:f>
      </x:c>
      <x:c r="P98" t="str">
        <x:f>IF(A98="","",'Benefits Master'!Q98)</x:f>
      </x:c>
      <x:c r="Q98" t="str">
        <x:f>IF(A98="","",'Benefits Master'!S98)</x:f>
      </x:c>
    </x:row>
    <x:row r="99">
      <x:c r="A99" t="str">
        <x:f>IF('Benefits Master'!A99="","",'Benefits Master'!A99)</x:f>
      </x:c>
      <x:c r="B99" t="str">
        <x:f>IF(A99="","",'Benefits Master'!B99)</x:f>
      </x:c>
      <x:c r="C99" t="str">
        <x:f>IF(A99="","",'Benefits Master'!D99)</x:f>
      </x:c>
      <x:c r="D99" t="str">
        <x:f>IF(A99="","",'Benefits Master'!E99)</x:f>
      </x:c>
      <x:c r="E99" t="str">
        <x:f>IF(A99="","",'Benefits Master'!J99)</x:f>
      </x:c>
      <x:c r="F99" t="str">
        <x:f>IF(A99="","",'Benefits Master'!K99)</x:f>
      </x:c>
      <x:c r="G99" t="str">
        <x:f>IF(A99="","",IF(F99="Jan-Jun",YEAR(TODAY())&amp;"-H1",IF(F99="Jul-Dec",YEAR(TODAY())&amp;"-H2",IF(E99="Monthly",TEXT(TODAY(),"yyyy-mm"),IF(E99="Quarterly",YEAR(TODAY())&amp;"-Q"&amp;ROUNDUP(MONTH(TODAY())/3,0),IF(E99="Semiannual",IF(MONTH(TODAY())&lt;=6,YEAR(TODAY())&amp;"-H1",YEAR(TODAY())&amp;"-H2"),IF(E99="Annual",YEAR(TODAY()),IF(E99="One-time","One-time","Custom"))))))))</x:f>
      </x:c>
      <x:c r="H99" t="str">
        <x:f>IF(A99="","",IF('Benefits Master'!M99&lt;&gt;"",'Benefits Master'!M99,IF('Benefits Master'!L99="End of Month",EOMONTH(TODAY(),0),IF('Benefits Master'!L99="End of Quarter",EOMONTH(DATE(YEAR(TODAY()),ROUNDUP(MONTH(TODAY())/3,0)*3,1),0),IF('Benefits Master'!L99="June 30",DATE(YEAR(TODAY()),6,30),IF('Benefits Master'!L99="Dec 31",DATE(YEAR(TODAY()),12,31),IF('Benefits Master'!L99="Card Anniversary","Enter open date",IF('Benefits Master'!L99="Specific Date","Set specific date",DATE(YEAR(TODAY()),12,31)))))))))</x:f>
      </x:c>
      <x:c r="I99" t="str">
        <x:f>IF(A99="","",'Benefits Master'!H99)</x:f>
      </x:c>
      <x:c r="J99" t="str">
        <x:f>IF(A99="","",SUMIFS('Benefit Usage Log'!$H:$H,'Benefit Usage Log'!$E:$E,A99,'Benefit Usage Log'!$G:$G,G99))</x:f>
      </x:c>
      <x:c r="K99" t="str">
        <x:f>IF(A99="","",MAX(0,I99-J99))</x:f>
      </x:c>
      <x:c r="L99" t="str">
        <x:f>IF(A99="","",IF(I99=0,0,MIN(1,J99/I99)))</x:f>
      </x:c>
      <x:c r="M99" t="str">
        <x:f>IF(A99="","",IF(ISNUMBER(H99)=FALSE,"Review Terms",IF(J99&gt;=I99,"Used",IF(AND(J99&gt;0,J99&lt;I99,H99&lt;TODAY()),"Missed",IF(AND(J99=0,H99&lt;TODAY()),"Missed",IF(AND(I99-J99&gt;0,H99-TODAY()&lt;='Benefits Master'!N99),"Expiring Soon",IF(J99&gt;0,"Partially Used","Not Used")))))))</x:f>
      </x:c>
      <x:c r="N99" t="str">
        <x:f>IF(A99="","",IF(ISNUMBER(H99),H99-TODAY(),""))</x:f>
      </x:c>
      <x:c r="O99" t="str">
        <x:f>IF(A99="","",'Benefits Master'!P99)</x:f>
      </x:c>
      <x:c r="P99" t="str">
        <x:f>IF(A99="","",'Benefits Master'!Q99)</x:f>
      </x:c>
      <x:c r="Q99" t="str">
        <x:f>IF(A99="","",'Benefits Master'!S99)</x:f>
      </x:c>
    </x:row>
    <x:row r="100">
      <x:c r="A100" t="str">
        <x:f>IF('Benefits Master'!A100="","",'Benefits Master'!A100)</x:f>
      </x:c>
      <x:c r="B100" t="str">
        <x:f>IF(A100="","",'Benefits Master'!B100)</x:f>
      </x:c>
      <x:c r="C100" t="str">
        <x:f>IF(A100="","",'Benefits Master'!D100)</x:f>
      </x:c>
      <x:c r="D100" t="str">
        <x:f>IF(A100="","",'Benefits Master'!E100)</x:f>
      </x:c>
      <x:c r="E100" t="str">
        <x:f>IF(A100="","",'Benefits Master'!J100)</x:f>
      </x:c>
      <x:c r="F100" t="str">
        <x:f>IF(A100="","",'Benefits Master'!K100)</x:f>
      </x:c>
      <x:c r="G100" t="str">
        <x:f>IF(A100="","",IF(F100="Jan-Jun",YEAR(TODAY())&amp;"-H1",IF(F100="Jul-Dec",YEAR(TODAY())&amp;"-H2",IF(E100="Monthly",TEXT(TODAY(),"yyyy-mm"),IF(E100="Quarterly",YEAR(TODAY())&amp;"-Q"&amp;ROUNDUP(MONTH(TODAY())/3,0),IF(E100="Semiannual",IF(MONTH(TODAY())&lt;=6,YEAR(TODAY())&amp;"-H1",YEAR(TODAY())&amp;"-H2"),IF(E100="Annual",YEAR(TODAY()),IF(E100="One-time","One-time","Custom"))))))))</x:f>
      </x:c>
      <x:c r="H100" t="str">
        <x:f>IF(A100="","",IF('Benefits Master'!M100&lt;&gt;"",'Benefits Master'!M100,IF('Benefits Master'!L100="End of Month",EOMONTH(TODAY(),0),IF('Benefits Master'!L100="End of Quarter",EOMONTH(DATE(YEAR(TODAY()),ROUNDUP(MONTH(TODAY())/3,0)*3,1),0),IF('Benefits Master'!L100="June 30",DATE(YEAR(TODAY()),6,30),IF('Benefits Master'!L100="Dec 31",DATE(YEAR(TODAY()),12,31),IF('Benefits Master'!L100="Card Anniversary","Enter open date",IF('Benefits Master'!L100="Specific Date","Set specific date",DATE(YEAR(TODAY()),12,31)))))))))</x:f>
      </x:c>
      <x:c r="I100" t="str">
        <x:f>IF(A100="","",'Benefits Master'!H100)</x:f>
      </x:c>
      <x:c r="J100" t="str">
        <x:f>IF(A100="","",SUMIFS('Benefit Usage Log'!$H:$H,'Benefit Usage Log'!$E:$E,A100,'Benefit Usage Log'!$G:$G,G100))</x:f>
      </x:c>
      <x:c r="K100" t="str">
        <x:f>IF(A100="","",MAX(0,I100-J100))</x:f>
      </x:c>
      <x:c r="L100" t="str">
        <x:f>IF(A100="","",IF(I100=0,0,MIN(1,J100/I100)))</x:f>
      </x:c>
      <x:c r="M100" t="str">
        <x:f>IF(A100="","",IF(ISNUMBER(H100)=FALSE,"Review Terms",IF(J100&gt;=I100,"Used",IF(AND(J100&gt;0,J100&lt;I100,H100&lt;TODAY()),"Missed",IF(AND(J100=0,H100&lt;TODAY()),"Missed",IF(AND(I100-J100&gt;0,H100-TODAY()&lt;='Benefits Master'!N100),"Expiring Soon",IF(J100&gt;0,"Partially Used","Not Used")))))))</x:f>
      </x:c>
      <x:c r="N100" t="str">
        <x:f>IF(A100="","",IF(ISNUMBER(H100),H100-TODAY(),""))</x:f>
      </x:c>
      <x:c r="O100" t="str">
        <x:f>IF(A100="","",'Benefits Master'!P100)</x:f>
      </x:c>
      <x:c r="P100" t="str">
        <x:f>IF(A100="","",'Benefits Master'!Q100)</x:f>
      </x:c>
      <x:c r="Q100" t="str">
        <x:f>IF(A100="","",'Benefits Master'!S100)</x:f>
      </x:c>
    </x:row>
    <x:row r="101">
      <x:c r="A101" t="str">
        <x:f>IF('Benefits Master'!A101="","",'Benefits Master'!A101)</x:f>
      </x:c>
      <x:c r="B101" t="str">
        <x:f>IF(A101="","",'Benefits Master'!B101)</x:f>
      </x:c>
      <x:c r="C101" t="str">
        <x:f>IF(A101="","",'Benefits Master'!D101)</x:f>
      </x:c>
      <x:c r="D101" t="str">
        <x:f>IF(A101="","",'Benefits Master'!E101)</x:f>
      </x:c>
      <x:c r="E101" t="str">
        <x:f>IF(A101="","",'Benefits Master'!J101)</x:f>
      </x:c>
      <x:c r="F101" t="str">
        <x:f>IF(A101="","",'Benefits Master'!K101)</x:f>
      </x:c>
      <x:c r="G101" t="str">
        <x:f>IF(A101="","",IF(F101="Jan-Jun",YEAR(TODAY())&amp;"-H1",IF(F101="Jul-Dec",YEAR(TODAY())&amp;"-H2",IF(E101="Monthly",TEXT(TODAY(),"yyyy-mm"),IF(E101="Quarterly",YEAR(TODAY())&amp;"-Q"&amp;ROUNDUP(MONTH(TODAY())/3,0),IF(E101="Semiannual",IF(MONTH(TODAY())&lt;=6,YEAR(TODAY())&amp;"-H1",YEAR(TODAY())&amp;"-H2"),IF(E101="Annual",YEAR(TODAY()),IF(E101="One-time","One-time","Custom"))))))))</x:f>
      </x:c>
      <x:c r="H101" t="str">
        <x:f>IF(A101="","",IF('Benefits Master'!M101&lt;&gt;"",'Benefits Master'!M101,IF('Benefits Master'!L101="End of Month",EOMONTH(TODAY(),0),IF('Benefits Master'!L101="End of Quarter",EOMONTH(DATE(YEAR(TODAY()),ROUNDUP(MONTH(TODAY())/3,0)*3,1),0),IF('Benefits Master'!L101="June 30",DATE(YEAR(TODAY()),6,30),IF('Benefits Master'!L101="Dec 31",DATE(YEAR(TODAY()),12,31),IF('Benefits Master'!L101="Card Anniversary","Enter open date",IF('Benefits Master'!L101="Specific Date","Set specific date",DATE(YEAR(TODAY()),12,31)))))))))</x:f>
      </x:c>
      <x:c r="I101" t="str">
        <x:f>IF(A101="","",'Benefits Master'!H101)</x:f>
      </x:c>
      <x:c r="J101" t="str">
        <x:f>IF(A101="","",SUMIFS('Benefit Usage Log'!$H:$H,'Benefit Usage Log'!$E:$E,A101,'Benefit Usage Log'!$G:$G,G101))</x:f>
      </x:c>
      <x:c r="K101" t="str">
        <x:f>IF(A101="","",MAX(0,I101-J101))</x:f>
      </x:c>
      <x:c r="L101" t="str">
        <x:f>IF(A101="","",IF(I101=0,0,MIN(1,J101/I101)))</x:f>
      </x:c>
      <x:c r="M101" t="str">
        <x:f>IF(A101="","",IF(ISNUMBER(H101)=FALSE,"Review Terms",IF(J101&gt;=I101,"Used",IF(AND(J101&gt;0,J101&lt;I101,H101&lt;TODAY()),"Missed",IF(AND(J101=0,H101&lt;TODAY()),"Missed",IF(AND(I101-J101&gt;0,H101-TODAY()&lt;='Benefits Master'!N101),"Expiring Soon",IF(J101&gt;0,"Partially Used","Not Used")))))))</x:f>
      </x:c>
      <x:c r="N101" t="str">
        <x:f>IF(A101="","",IF(ISNUMBER(H101),H101-TODAY(),""))</x:f>
      </x:c>
      <x:c r="O101" t="str">
        <x:f>IF(A101="","",'Benefits Master'!P101)</x:f>
      </x:c>
      <x:c r="P101" t="str">
        <x:f>IF(A101="","",'Benefits Master'!Q101)</x:f>
      </x:c>
      <x:c r="Q101" t="str">
        <x:f>IF(A101="","",'Benefits Master'!S101)</x:f>
      </x:c>
    </x:row>
    <x:row r="102">
      <x:c r="A102" t="str">
        <x:f>IF('Benefits Master'!A102="","",'Benefits Master'!A102)</x:f>
      </x:c>
      <x:c r="B102" t="str">
        <x:f>IF(A102="","",'Benefits Master'!B102)</x:f>
      </x:c>
      <x:c r="C102" t="str">
        <x:f>IF(A102="","",'Benefits Master'!D102)</x:f>
      </x:c>
      <x:c r="D102" t="str">
        <x:f>IF(A102="","",'Benefits Master'!E102)</x:f>
      </x:c>
      <x:c r="E102" t="str">
        <x:f>IF(A102="","",'Benefits Master'!J102)</x:f>
      </x:c>
      <x:c r="F102" t="str">
        <x:f>IF(A102="","",'Benefits Master'!K102)</x:f>
      </x:c>
      <x:c r="G102" t="str">
        <x:f>IF(A102="","",IF(F102="Jan-Jun",YEAR(TODAY())&amp;"-H1",IF(F102="Jul-Dec",YEAR(TODAY())&amp;"-H2",IF(E102="Monthly",TEXT(TODAY(),"yyyy-mm"),IF(E102="Quarterly",YEAR(TODAY())&amp;"-Q"&amp;ROUNDUP(MONTH(TODAY())/3,0),IF(E102="Semiannual",IF(MONTH(TODAY())&lt;=6,YEAR(TODAY())&amp;"-H1",YEAR(TODAY())&amp;"-H2"),IF(E102="Annual",YEAR(TODAY()),IF(E102="One-time","One-time","Custom"))))))))</x:f>
      </x:c>
      <x:c r="H102" t="str">
        <x:f>IF(A102="","",IF('Benefits Master'!M102&lt;&gt;"",'Benefits Master'!M102,IF('Benefits Master'!L102="End of Month",EOMONTH(TODAY(),0),IF('Benefits Master'!L102="End of Quarter",EOMONTH(DATE(YEAR(TODAY()),ROUNDUP(MONTH(TODAY())/3,0)*3,1),0),IF('Benefits Master'!L102="June 30",DATE(YEAR(TODAY()),6,30),IF('Benefits Master'!L102="Dec 31",DATE(YEAR(TODAY()),12,31),IF('Benefits Master'!L102="Card Anniversary","Enter open date",IF('Benefits Master'!L102="Specific Date","Set specific date",DATE(YEAR(TODAY()),12,31)))))))))</x:f>
      </x:c>
      <x:c r="I102" t="str">
        <x:f>IF(A102="","",'Benefits Master'!H102)</x:f>
      </x:c>
      <x:c r="J102" t="str">
        <x:f>IF(A102="","",SUMIFS('Benefit Usage Log'!$H:$H,'Benefit Usage Log'!$E:$E,A102,'Benefit Usage Log'!$G:$G,G102))</x:f>
      </x:c>
      <x:c r="K102" t="str">
        <x:f>IF(A102="","",MAX(0,I102-J102))</x:f>
      </x:c>
      <x:c r="L102" t="str">
        <x:f>IF(A102="","",IF(I102=0,0,MIN(1,J102/I102)))</x:f>
      </x:c>
      <x:c r="M102" t="str">
        <x:f>IF(A102="","",IF(ISNUMBER(H102)=FALSE,"Review Terms",IF(J102&gt;=I102,"Used",IF(AND(J102&gt;0,J102&lt;I102,H102&lt;TODAY()),"Missed",IF(AND(J102=0,H102&lt;TODAY()),"Missed",IF(AND(I102-J102&gt;0,H102-TODAY()&lt;='Benefits Master'!N102),"Expiring Soon",IF(J102&gt;0,"Partially Used","Not Used")))))))</x:f>
      </x:c>
      <x:c r="N102" t="str">
        <x:f>IF(A102="","",IF(ISNUMBER(H102),H102-TODAY(),""))</x:f>
      </x:c>
      <x:c r="O102" t="str">
        <x:f>IF(A102="","",'Benefits Master'!P102)</x:f>
      </x:c>
      <x:c r="P102" t="str">
        <x:f>IF(A102="","",'Benefits Master'!Q102)</x:f>
      </x:c>
      <x:c r="Q102" t="str">
        <x:f>IF(A102="","",'Benefits Master'!S102)</x:f>
      </x:c>
    </x:row>
    <x:row r="103">
      <x:c r="A103" t="str">
        <x:f>IF('Benefits Master'!A103="","",'Benefits Master'!A103)</x:f>
      </x:c>
      <x:c r="B103" t="str">
        <x:f>IF(A103="","",'Benefits Master'!B103)</x:f>
      </x:c>
      <x:c r="C103" t="str">
        <x:f>IF(A103="","",'Benefits Master'!D103)</x:f>
      </x:c>
      <x:c r="D103" t="str">
        <x:f>IF(A103="","",'Benefits Master'!E103)</x:f>
      </x:c>
      <x:c r="E103" t="str">
        <x:f>IF(A103="","",'Benefits Master'!J103)</x:f>
      </x:c>
      <x:c r="F103" t="str">
        <x:f>IF(A103="","",'Benefits Master'!K103)</x:f>
      </x:c>
      <x:c r="G103" t="str">
        <x:f>IF(A103="","",IF(F103="Jan-Jun",YEAR(TODAY())&amp;"-H1",IF(F103="Jul-Dec",YEAR(TODAY())&amp;"-H2",IF(E103="Monthly",TEXT(TODAY(),"yyyy-mm"),IF(E103="Quarterly",YEAR(TODAY())&amp;"-Q"&amp;ROUNDUP(MONTH(TODAY())/3,0),IF(E103="Semiannual",IF(MONTH(TODAY())&lt;=6,YEAR(TODAY())&amp;"-H1",YEAR(TODAY())&amp;"-H2"),IF(E103="Annual",YEAR(TODAY()),IF(E103="One-time","One-time","Custom"))))))))</x:f>
      </x:c>
      <x:c r="H103" t="str">
        <x:f>IF(A103="","",IF('Benefits Master'!M103&lt;&gt;"",'Benefits Master'!M103,IF('Benefits Master'!L103="End of Month",EOMONTH(TODAY(),0),IF('Benefits Master'!L103="End of Quarter",EOMONTH(DATE(YEAR(TODAY()),ROUNDUP(MONTH(TODAY())/3,0)*3,1),0),IF('Benefits Master'!L103="June 30",DATE(YEAR(TODAY()),6,30),IF('Benefits Master'!L103="Dec 31",DATE(YEAR(TODAY()),12,31),IF('Benefits Master'!L103="Card Anniversary","Enter open date",IF('Benefits Master'!L103="Specific Date","Set specific date",DATE(YEAR(TODAY()),12,31)))))))))</x:f>
      </x:c>
      <x:c r="I103" t="str">
        <x:f>IF(A103="","",'Benefits Master'!H103)</x:f>
      </x:c>
      <x:c r="J103" t="str">
        <x:f>IF(A103="","",SUMIFS('Benefit Usage Log'!$H:$H,'Benefit Usage Log'!$E:$E,A103,'Benefit Usage Log'!$G:$G,G103))</x:f>
      </x:c>
      <x:c r="K103" t="str">
        <x:f>IF(A103="","",MAX(0,I103-J103))</x:f>
      </x:c>
      <x:c r="L103" t="str">
        <x:f>IF(A103="","",IF(I103=0,0,MIN(1,J103/I103)))</x:f>
      </x:c>
      <x:c r="M103" t="str">
        <x:f>IF(A103="","",IF(ISNUMBER(H103)=FALSE,"Review Terms",IF(J103&gt;=I103,"Used",IF(AND(J103&gt;0,J103&lt;I103,H103&lt;TODAY()),"Missed",IF(AND(J103=0,H103&lt;TODAY()),"Missed",IF(AND(I103-J103&gt;0,H103-TODAY()&lt;='Benefits Master'!N103),"Expiring Soon",IF(J103&gt;0,"Partially Used","Not Used")))))))</x:f>
      </x:c>
      <x:c r="N103" t="str">
        <x:f>IF(A103="","",IF(ISNUMBER(H103),H103-TODAY(),""))</x:f>
      </x:c>
      <x:c r="O103" t="str">
        <x:f>IF(A103="","",'Benefits Master'!P103)</x:f>
      </x:c>
      <x:c r="P103" t="str">
        <x:f>IF(A103="","",'Benefits Master'!Q103)</x:f>
      </x:c>
      <x:c r="Q103" t="str">
        <x:f>IF(A103="","",'Benefits Master'!S103)</x:f>
      </x:c>
    </x:row>
    <x:row r="104">
      <x:c r="A104" t="str">
        <x:f>IF('Benefits Master'!A104="","",'Benefits Master'!A104)</x:f>
      </x:c>
      <x:c r="B104" t="str">
        <x:f>IF(A104="","",'Benefits Master'!B104)</x:f>
      </x:c>
      <x:c r="C104" t="str">
        <x:f>IF(A104="","",'Benefits Master'!D104)</x:f>
      </x:c>
      <x:c r="D104" t="str">
        <x:f>IF(A104="","",'Benefits Master'!E104)</x:f>
      </x:c>
      <x:c r="E104" t="str">
        <x:f>IF(A104="","",'Benefits Master'!J104)</x:f>
      </x:c>
      <x:c r="F104" t="str">
        <x:f>IF(A104="","",'Benefits Master'!K104)</x:f>
      </x:c>
      <x:c r="G104" t="str">
        <x:f>IF(A104="","",IF(F104="Jan-Jun",YEAR(TODAY())&amp;"-H1",IF(F104="Jul-Dec",YEAR(TODAY())&amp;"-H2",IF(E104="Monthly",TEXT(TODAY(),"yyyy-mm"),IF(E104="Quarterly",YEAR(TODAY())&amp;"-Q"&amp;ROUNDUP(MONTH(TODAY())/3,0),IF(E104="Semiannual",IF(MONTH(TODAY())&lt;=6,YEAR(TODAY())&amp;"-H1",YEAR(TODAY())&amp;"-H2"),IF(E104="Annual",YEAR(TODAY()),IF(E104="One-time","One-time","Custom"))))))))</x:f>
      </x:c>
      <x:c r="H104" t="str">
        <x:f>IF(A104="","",IF('Benefits Master'!M104&lt;&gt;"",'Benefits Master'!M104,IF('Benefits Master'!L104="End of Month",EOMONTH(TODAY(),0),IF('Benefits Master'!L104="End of Quarter",EOMONTH(DATE(YEAR(TODAY()),ROUNDUP(MONTH(TODAY())/3,0)*3,1),0),IF('Benefits Master'!L104="June 30",DATE(YEAR(TODAY()),6,30),IF('Benefits Master'!L104="Dec 31",DATE(YEAR(TODAY()),12,31),IF('Benefits Master'!L104="Card Anniversary","Enter open date",IF('Benefits Master'!L104="Specific Date","Set specific date",DATE(YEAR(TODAY()),12,31)))))))))</x:f>
      </x:c>
      <x:c r="I104" t="str">
        <x:f>IF(A104="","",'Benefits Master'!H104)</x:f>
      </x:c>
      <x:c r="J104" t="str">
        <x:f>IF(A104="","",SUMIFS('Benefit Usage Log'!$H:$H,'Benefit Usage Log'!$E:$E,A104,'Benefit Usage Log'!$G:$G,G104))</x:f>
      </x:c>
      <x:c r="K104" t="str">
        <x:f>IF(A104="","",MAX(0,I104-J104))</x:f>
      </x:c>
      <x:c r="L104" t="str">
        <x:f>IF(A104="","",IF(I104=0,0,MIN(1,J104/I104)))</x:f>
      </x:c>
      <x:c r="M104" t="str">
        <x:f>IF(A104="","",IF(ISNUMBER(H104)=FALSE,"Review Terms",IF(J104&gt;=I104,"Used",IF(AND(J104&gt;0,J104&lt;I104,H104&lt;TODAY()),"Missed",IF(AND(J104=0,H104&lt;TODAY()),"Missed",IF(AND(I104-J104&gt;0,H104-TODAY()&lt;='Benefits Master'!N104),"Expiring Soon",IF(J104&gt;0,"Partially Used","Not Used")))))))</x:f>
      </x:c>
      <x:c r="N104" t="str">
        <x:f>IF(A104="","",IF(ISNUMBER(H104),H104-TODAY(),""))</x:f>
      </x:c>
      <x:c r="O104" t="str">
        <x:f>IF(A104="","",'Benefits Master'!P104)</x:f>
      </x:c>
      <x:c r="P104" t="str">
        <x:f>IF(A104="","",'Benefits Master'!Q104)</x:f>
      </x:c>
      <x:c r="Q104" t="str">
        <x:f>IF(A104="","",'Benefits Master'!S104)</x:f>
      </x:c>
    </x:row>
    <x:row r="105">
      <x:c r="A105" t="str">
        <x:f>IF('Benefits Master'!A105="","",'Benefits Master'!A105)</x:f>
      </x:c>
      <x:c r="B105" t="str">
        <x:f>IF(A105="","",'Benefits Master'!B105)</x:f>
      </x:c>
      <x:c r="C105" t="str">
        <x:f>IF(A105="","",'Benefits Master'!D105)</x:f>
      </x:c>
      <x:c r="D105" t="str">
        <x:f>IF(A105="","",'Benefits Master'!E105)</x:f>
      </x:c>
      <x:c r="E105" t="str">
        <x:f>IF(A105="","",'Benefits Master'!J105)</x:f>
      </x:c>
      <x:c r="F105" t="str">
        <x:f>IF(A105="","",'Benefits Master'!K105)</x:f>
      </x:c>
      <x:c r="G105" t="str">
        <x:f>IF(A105="","",IF(F105="Jan-Jun",YEAR(TODAY())&amp;"-H1",IF(F105="Jul-Dec",YEAR(TODAY())&amp;"-H2",IF(E105="Monthly",TEXT(TODAY(),"yyyy-mm"),IF(E105="Quarterly",YEAR(TODAY())&amp;"-Q"&amp;ROUNDUP(MONTH(TODAY())/3,0),IF(E105="Semiannual",IF(MONTH(TODAY())&lt;=6,YEAR(TODAY())&amp;"-H1",YEAR(TODAY())&amp;"-H2"),IF(E105="Annual",YEAR(TODAY()),IF(E105="One-time","One-time","Custom"))))))))</x:f>
      </x:c>
      <x:c r="H105" t="str">
        <x:f>IF(A105="","",IF('Benefits Master'!M105&lt;&gt;"",'Benefits Master'!M105,IF('Benefits Master'!L105="End of Month",EOMONTH(TODAY(),0),IF('Benefits Master'!L105="End of Quarter",EOMONTH(DATE(YEAR(TODAY()),ROUNDUP(MONTH(TODAY())/3,0)*3,1),0),IF('Benefits Master'!L105="June 30",DATE(YEAR(TODAY()),6,30),IF('Benefits Master'!L105="Dec 31",DATE(YEAR(TODAY()),12,31),IF('Benefits Master'!L105="Card Anniversary","Enter open date",IF('Benefits Master'!L105="Specific Date","Set specific date",DATE(YEAR(TODAY()),12,31)))))))))</x:f>
      </x:c>
      <x:c r="I105" t="str">
        <x:f>IF(A105="","",'Benefits Master'!H105)</x:f>
      </x:c>
      <x:c r="J105" t="str">
        <x:f>IF(A105="","",SUMIFS('Benefit Usage Log'!$H:$H,'Benefit Usage Log'!$E:$E,A105,'Benefit Usage Log'!$G:$G,G105))</x:f>
      </x:c>
      <x:c r="K105" t="str">
        <x:f>IF(A105="","",MAX(0,I105-J105))</x:f>
      </x:c>
      <x:c r="L105" t="str">
        <x:f>IF(A105="","",IF(I105=0,0,MIN(1,J105/I105)))</x:f>
      </x:c>
      <x:c r="M105" t="str">
        <x:f>IF(A105="","",IF(ISNUMBER(H105)=FALSE,"Review Terms",IF(J105&gt;=I105,"Used",IF(AND(J105&gt;0,J105&lt;I105,H105&lt;TODAY()),"Missed",IF(AND(J105=0,H105&lt;TODAY()),"Missed",IF(AND(I105-J105&gt;0,H105-TODAY()&lt;='Benefits Master'!N105),"Expiring Soon",IF(J105&gt;0,"Partially Used","Not Used")))))))</x:f>
      </x:c>
      <x:c r="N105" t="str">
        <x:f>IF(A105="","",IF(ISNUMBER(H105),H105-TODAY(),""))</x:f>
      </x:c>
      <x:c r="O105" t="str">
        <x:f>IF(A105="","",'Benefits Master'!P105)</x:f>
      </x:c>
      <x:c r="P105" t="str">
        <x:f>IF(A105="","",'Benefits Master'!Q105)</x:f>
      </x:c>
      <x:c r="Q105" t="str">
        <x:f>IF(A105="","",'Benefits Master'!S105)</x:f>
      </x:c>
    </x:row>
    <x:row r="106">
      <x:c r="A106" t="str">
        <x:f>IF('Benefits Master'!A106="","",'Benefits Master'!A106)</x:f>
      </x:c>
      <x:c r="B106" t="str">
        <x:f>IF(A106="","",'Benefits Master'!B106)</x:f>
      </x:c>
      <x:c r="C106" t="str">
        <x:f>IF(A106="","",'Benefits Master'!D106)</x:f>
      </x:c>
      <x:c r="D106" t="str">
        <x:f>IF(A106="","",'Benefits Master'!E106)</x:f>
      </x:c>
      <x:c r="E106" t="str">
        <x:f>IF(A106="","",'Benefits Master'!J106)</x:f>
      </x:c>
      <x:c r="F106" t="str">
        <x:f>IF(A106="","",'Benefits Master'!K106)</x:f>
      </x:c>
      <x:c r="G106" t="str">
        <x:f>IF(A106="","",IF(F106="Jan-Jun",YEAR(TODAY())&amp;"-H1",IF(F106="Jul-Dec",YEAR(TODAY())&amp;"-H2",IF(E106="Monthly",TEXT(TODAY(),"yyyy-mm"),IF(E106="Quarterly",YEAR(TODAY())&amp;"-Q"&amp;ROUNDUP(MONTH(TODAY())/3,0),IF(E106="Semiannual",IF(MONTH(TODAY())&lt;=6,YEAR(TODAY())&amp;"-H1",YEAR(TODAY())&amp;"-H2"),IF(E106="Annual",YEAR(TODAY()),IF(E106="One-time","One-time","Custom"))))))))</x:f>
      </x:c>
      <x:c r="H106" t="str">
        <x:f>IF(A106="","",IF('Benefits Master'!M106&lt;&gt;"",'Benefits Master'!M106,IF('Benefits Master'!L106="End of Month",EOMONTH(TODAY(),0),IF('Benefits Master'!L106="End of Quarter",EOMONTH(DATE(YEAR(TODAY()),ROUNDUP(MONTH(TODAY())/3,0)*3,1),0),IF('Benefits Master'!L106="June 30",DATE(YEAR(TODAY()),6,30),IF('Benefits Master'!L106="Dec 31",DATE(YEAR(TODAY()),12,31),IF('Benefits Master'!L106="Card Anniversary","Enter open date",IF('Benefits Master'!L106="Specific Date","Set specific date",DATE(YEAR(TODAY()),12,31)))))))))</x:f>
      </x:c>
      <x:c r="I106" t="str">
        <x:f>IF(A106="","",'Benefits Master'!H106)</x:f>
      </x:c>
      <x:c r="J106" t="str">
        <x:f>IF(A106="","",SUMIFS('Benefit Usage Log'!$H:$H,'Benefit Usage Log'!$E:$E,A106,'Benefit Usage Log'!$G:$G,G106))</x:f>
      </x:c>
      <x:c r="K106" t="str">
        <x:f>IF(A106="","",MAX(0,I106-J106))</x:f>
      </x:c>
      <x:c r="L106" t="str">
        <x:f>IF(A106="","",IF(I106=0,0,MIN(1,J106/I106)))</x:f>
      </x:c>
      <x:c r="M106" t="str">
        <x:f>IF(A106="","",IF(ISNUMBER(H106)=FALSE,"Review Terms",IF(J106&gt;=I106,"Used",IF(AND(J106&gt;0,J106&lt;I106,H106&lt;TODAY()),"Missed",IF(AND(J106=0,H106&lt;TODAY()),"Missed",IF(AND(I106-J106&gt;0,H106-TODAY()&lt;='Benefits Master'!N106),"Expiring Soon",IF(J106&gt;0,"Partially Used","Not Used")))))))</x:f>
      </x:c>
      <x:c r="N106" t="str">
        <x:f>IF(A106="","",IF(ISNUMBER(H106),H106-TODAY(),""))</x:f>
      </x:c>
      <x:c r="O106" t="str">
        <x:f>IF(A106="","",'Benefits Master'!P106)</x:f>
      </x:c>
      <x:c r="P106" t="str">
        <x:f>IF(A106="","",'Benefits Master'!Q106)</x:f>
      </x:c>
      <x:c r="Q106" t="str">
        <x:f>IF(A106="","",'Benefits Master'!S106)</x:f>
      </x:c>
    </x:row>
    <x:row r="107">
      <x:c r="A107" t="str">
        <x:f>IF('Benefits Master'!A107="","",'Benefits Master'!A107)</x:f>
      </x:c>
      <x:c r="B107" t="str">
        <x:f>IF(A107="","",'Benefits Master'!B107)</x:f>
      </x:c>
      <x:c r="C107" t="str">
        <x:f>IF(A107="","",'Benefits Master'!D107)</x:f>
      </x:c>
      <x:c r="D107" t="str">
        <x:f>IF(A107="","",'Benefits Master'!E107)</x:f>
      </x:c>
      <x:c r="E107" t="str">
        <x:f>IF(A107="","",'Benefits Master'!J107)</x:f>
      </x:c>
      <x:c r="F107" t="str">
        <x:f>IF(A107="","",'Benefits Master'!K107)</x:f>
      </x:c>
      <x:c r="G107" t="str">
        <x:f>IF(A107="","",IF(F107="Jan-Jun",YEAR(TODAY())&amp;"-H1",IF(F107="Jul-Dec",YEAR(TODAY())&amp;"-H2",IF(E107="Monthly",TEXT(TODAY(),"yyyy-mm"),IF(E107="Quarterly",YEAR(TODAY())&amp;"-Q"&amp;ROUNDUP(MONTH(TODAY())/3,0),IF(E107="Semiannual",IF(MONTH(TODAY())&lt;=6,YEAR(TODAY())&amp;"-H1",YEAR(TODAY())&amp;"-H2"),IF(E107="Annual",YEAR(TODAY()),IF(E107="One-time","One-time","Custom"))))))))</x:f>
      </x:c>
      <x:c r="H107" t="str">
        <x:f>IF(A107="","",IF('Benefits Master'!M107&lt;&gt;"",'Benefits Master'!M107,IF('Benefits Master'!L107="End of Month",EOMONTH(TODAY(),0),IF('Benefits Master'!L107="End of Quarter",EOMONTH(DATE(YEAR(TODAY()),ROUNDUP(MONTH(TODAY())/3,0)*3,1),0),IF('Benefits Master'!L107="June 30",DATE(YEAR(TODAY()),6,30),IF('Benefits Master'!L107="Dec 31",DATE(YEAR(TODAY()),12,31),IF('Benefits Master'!L107="Card Anniversary","Enter open date",IF('Benefits Master'!L107="Specific Date","Set specific date",DATE(YEAR(TODAY()),12,31)))))))))</x:f>
      </x:c>
      <x:c r="I107" t="str">
        <x:f>IF(A107="","",'Benefits Master'!H107)</x:f>
      </x:c>
      <x:c r="J107" t="str">
        <x:f>IF(A107="","",SUMIFS('Benefit Usage Log'!$H:$H,'Benefit Usage Log'!$E:$E,A107,'Benefit Usage Log'!$G:$G,G107))</x:f>
      </x:c>
      <x:c r="K107" t="str">
        <x:f>IF(A107="","",MAX(0,I107-J107))</x:f>
      </x:c>
      <x:c r="L107" t="str">
        <x:f>IF(A107="","",IF(I107=0,0,MIN(1,J107/I107)))</x:f>
      </x:c>
      <x:c r="M107" t="str">
        <x:f>IF(A107="","",IF(ISNUMBER(H107)=FALSE,"Review Terms",IF(J107&gt;=I107,"Used",IF(AND(J107&gt;0,J107&lt;I107,H107&lt;TODAY()),"Missed",IF(AND(J107=0,H107&lt;TODAY()),"Missed",IF(AND(I107-J107&gt;0,H107-TODAY()&lt;='Benefits Master'!N107),"Expiring Soon",IF(J107&gt;0,"Partially Used","Not Used")))))))</x:f>
      </x:c>
      <x:c r="N107" t="str">
        <x:f>IF(A107="","",IF(ISNUMBER(H107),H107-TODAY(),""))</x:f>
      </x:c>
      <x:c r="O107" t="str">
        <x:f>IF(A107="","",'Benefits Master'!P107)</x:f>
      </x:c>
      <x:c r="P107" t="str">
        <x:f>IF(A107="","",'Benefits Master'!Q107)</x:f>
      </x:c>
      <x:c r="Q107" t="str">
        <x:f>IF(A107="","",'Benefits Master'!S107)</x:f>
      </x:c>
    </x:row>
    <x:row r="108">
      <x:c r="A108" t="str">
        <x:f>IF('Benefits Master'!A108="","",'Benefits Master'!A108)</x:f>
      </x:c>
      <x:c r="B108" t="str">
        <x:f>IF(A108="","",'Benefits Master'!B108)</x:f>
      </x:c>
      <x:c r="C108" t="str">
        <x:f>IF(A108="","",'Benefits Master'!D108)</x:f>
      </x:c>
      <x:c r="D108" t="str">
        <x:f>IF(A108="","",'Benefits Master'!E108)</x:f>
      </x:c>
      <x:c r="E108" t="str">
        <x:f>IF(A108="","",'Benefits Master'!J108)</x:f>
      </x:c>
      <x:c r="F108" t="str">
        <x:f>IF(A108="","",'Benefits Master'!K108)</x:f>
      </x:c>
      <x:c r="G108" t="str">
        <x:f>IF(A108="","",IF(F108="Jan-Jun",YEAR(TODAY())&amp;"-H1",IF(F108="Jul-Dec",YEAR(TODAY())&amp;"-H2",IF(E108="Monthly",TEXT(TODAY(),"yyyy-mm"),IF(E108="Quarterly",YEAR(TODAY())&amp;"-Q"&amp;ROUNDUP(MONTH(TODAY())/3,0),IF(E108="Semiannual",IF(MONTH(TODAY())&lt;=6,YEAR(TODAY())&amp;"-H1",YEAR(TODAY())&amp;"-H2"),IF(E108="Annual",YEAR(TODAY()),IF(E108="One-time","One-time","Custom"))))))))</x:f>
      </x:c>
      <x:c r="H108" t="str">
        <x:f>IF(A108="","",IF('Benefits Master'!M108&lt;&gt;"",'Benefits Master'!M108,IF('Benefits Master'!L108="End of Month",EOMONTH(TODAY(),0),IF('Benefits Master'!L108="End of Quarter",EOMONTH(DATE(YEAR(TODAY()),ROUNDUP(MONTH(TODAY())/3,0)*3,1),0),IF('Benefits Master'!L108="June 30",DATE(YEAR(TODAY()),6,30),IF('Benefits Master'!L108="Dec 31",DATE(YEAR(TODAY()),12,31),IF('Benefits Master'!L108="Card Anniversary","Enter open date",IF('Benefits Master'!L108="Specific Date","Set specific date",DATE(YEAR(TODAY()),12,31)))))))))</x:f>
      </x:c>
      <x:c r="I108" t="str">
        <x:f>IF(A108="","",'Benefits Master'!H108)</x:f>
      </x:c>
      <x:c r="J108" t="str">
        <x:f>IF(A108="","",SUMIFS('Benefit Usage Log'!$H:$H,'Benefit Usage Log'!$E:$E,A108,'Benefit Usage Log'!$G:$G,G108))</x:f>
      </x:c>
      <x:c r="K108" t="str">
        <x:f>IF(A108="","",MAX(0,I108-J108))</x:f>
      </x:c>
      <x:c r="L108" t="str">
        <x:f>IF(A108="","",IF(I108=0,0,MIN(1,J108/I108)))</x:f>
      </x:c>
      <x:c r="M108" t="str">
        <x:f>IF(A108="","",IF(ISNUMBER(H108)=FALSE,"Review Terms",IF(J108&gt;=I108,"Used",IF(AND(J108&gt;0,J108&lt;I108,H108&lt;TODAY()),"Missed",IF(AND(J108=0,H108&lt;TODAY()),"Missed",IF(AND(I108-J108&gt;0,H108-TODAY()&lt;='Benefits Master'!N108),"Expiring Soon",IF(J108&gt;0,"Partially Used","Not Used")))))))</x:f>
      </x:c>
      <x:c r="N108" t="str">
        <x:f>IF(A108="","",IF(ISNUMBER(H108),H108-TODAY(),""))</x:f>
      </x:c>
      <x:c r="O108" t="str">
        <x:f>IF(A108="","",'Benefits Master'!P108)</x:f>
      </x:c>
      <x:c r="P108" t="str">
        <x:f>IF(A108="","",'Benefits Master'!Q108)</x:f>
      </x:c>
      <x:c r="Q108" t="str">
        <x:f>IF(A108="","",'Benefits Master'!S108)</x:f>
      </x:c>
    </x:row>
    <x:row r="109">
      <x:c r="A109" t="str">
        <x:f>IF('Benefits Master'!A109="","",'Benefits Master'!A109)</x:f>
      </x:c>
      <x:c r="B109" t="str">
        <x:f>IF(A109="","",'Benefits Master'!B109)</x:f>
      </x:c>
      <x:c r="C109" t="str">
        <x:f>IF(A109="","",'Benefits Master'!D109)</x:f>
      </x:c>
      <x:c r="D109" t="str">
        <x:f>IF(A109="","",'Benefits Master'!E109)</x:f>
      </x:c>
      <x:c r="E109" t="str">
        <x:f>IF(A109="","",'Benefits Master'!J109)</x:f>
      </x:c>
      <x:c r="F109" t="str">
        <x:f>IF(A109="","",'Benefits Master'!K109)</x:f>
      </x:c>
      <x:c r="G109" t="str">
        <x:f>IF(A109="","",IF(F109="Jan-Jun",YEAR(TODAY())&amp;"-H1",IF(F109="Jul-Dec",YEAR(TODAY())&amp;"-H2",IF(E109="Monthly",TEXT(TODAY(),"yyyy-mm"),IF(E109="Quarterly",YEAR(TODAY())&amp;"-Q"&amp;ROUNDUP(MONTH(TODAY())/3,0),IF(E109="Semiannual",IF(MONTH(TODAY())&lt;=6,YEAR(TODAY())&amp;"-H1",YEAR(TODAY())&amp;"-H2"),IF(E109="Annual",YEAR(TODAY()),IF(E109="One-time","One-time","Custom"))))))))</x:f>
      </x:c>
      <x:c r="H109" t="str">
        <x:f>IF(A109="","",IF('Benefits Master'!M109&lt;&gt;"",'Benefits Master'!M109,IF('Benefits Master'!L109="End of Month",EOMONTH(TODAY(),0),IF('Benefits Master'!L109="End of Quarter",EOMONTH(DATE(YEAR(TODAY()),ROUNDUP(MONTH(TODAY())/3,0)*3,1),0),IF('Benefits Master'!L109="June 30",DATE(YEAR(TODAY()),6,30),IF('Benefits Master'!L109="Dec 31",DATE(YEAR(TODAY()),12,31),IF('Benefits Master'!L109="Card Anniversary","Enter open date",IF('Benefits Master'!L109="Specific Date","Set specific date",DATE(YEAR(TODAY()),12,31)))))))))</x:f>
      </x:c>
      <x:c r="I109" t="str">
        <x:f>IF(A109="","",'Benefits Master'!H109)</x:f>
      </x:c>
      <x:c r="J109" t="str">
        <x:f>IF(A109="","",SUMIFS('Benefit Usage Log'!$H:$H,'Benefit Usage Log'!$E:$E,A109,'Benefit Usage Log'!$G:$G,G109))</x:f>
      </x:c>
      <x:c r="K109" t="str">
        <x:f>IF(A109="","",MAX(0,I109-J109))</x:f>
      </x:c>
      <x:c r="L109" t="str">
        <x:f>IF(A109="","",IF(I109=0,0,MIN(1,J109/I109)))</x:f>
      </x:c>
      <x:c r="M109" t="str">
        <x:f>IF(A109="","",IF(ISNUMBER(H109)=FALSE,"Review Terms",IF(J109&gt;=I109,"Used",IF(AND(J109&gt;0,J109&lt;I109,H109&lt;TODAY()),"Missed",IF(AND(J109=0,H109&lt;TODAY()),"Missed",IF(AND(I109-J109&gt;0,H109-TODAY()&lt;='Benefits Master'!N109),"Expiring Soon",IF(J109&gt;0,"Partially Used","Not Used")))))))</x:f>
      </x:c>
      <x:c r="N109" t="str">
        <x:f>IF(A109="","",IF(ISNUMBER(H109),H109-TODAY(),""))</x:f>
      </x:c>
      <x:c r="O109" t="str">
        <x:f>IF(A109="","",'Benefits Master'!P109)</x:f>
      </x:c>
      <x:c r="P109" t="str">
        <x:f>IF(A109="","",'Benefits Master'!Q109)</x:f>
      </x:c>
      <x:c r="Q109" t="str">
        <x:f>IF(A109="","",'Benefits Master'!S109)</x:f>
      </x:c>
    </x:row>
    <x:row r="110">
      <x:c r="A110" t="str">
        <x:f>IF('Benefits Master'!A110="","",'Benefits Master'!A110)</x:f>
      </x:c>
      <x:c r="B110" t="str">
        <x:f>IF(A110="","",'Benefits Master'!B110)</x:f>
      </x:c>
      <x:c r="C110" t="str">
        <x:f>IF(A110="","",'Benefits Master'!D110)</x:f>
      </x:c>
      <x:c r="D110" t="str">
        <x:f>IF(A110="","",'Benefits Master'!E110)</x:f>
      </x:c>
      <x:c r="E110" t="str">
        <x:f>IF(A110="","",'Benefits Master'!J110)</x:f>
      </x:c>
      <x:c r="F110" t="str">
        <x:f>IF(A110="","",'Benefits Master'!K110)</x:f>
      </x:c>
      <x:c r="G110" t="str">
        <x:f>IF(A110="","",IF(F110="Jan-Jun",YEAR(TODAY())&amp;"-H1",IF(F110="Jul-Dec",YEAR(TODAY())&amp;"-H2",IF(E110="Monthly",TEXT(TODAY(),"yyyy-mm"),IF(E110="Quarterly",YEAR(TODAY())&amp;"-Q"&amp;ROUNDUP(MONTH(TODAY())/3,0),IF(E110="Semiannual",IF(MONTH(TODAY())&lt;=6,YEAR(TODAY())&amp;"-H1",YEAR(TODAY())&amp;"-H2"),IF(E110="Annual",YEAR(TODAY()),IF(E110="One-time","One-time","Custom"))))))))</x:f>
      </x:c>
      <x:c r="H110" t="str">
        <x:f>IF(A110="","",IF('Benefits Master'!M110&lt;&gt;"",'Benefits Master'!M110,IF('Benefits Master'!L110="End of Month",EOMONTH(TODAY(),0),IF('Benefits Master'!L110="End of Quarter",EOMONTH(DATE(YEAR(TODAY()),ROUNDUP(MONTH(TODAY())/3,0)*3,1),0),IF('Benefits Master'!L110="June 30",DATE(YEAR(TODAY()),6,30),IF('Benefits Master'!L110="Dec 31",DATE(YEAR(TODAY()),12,31),IF('Benefits Master'!L110="Card Anniversary","Enter open date",IF('Benefits Master'!L110="Specific Date","Set specific date",DATE(YEAR(TODAY()),12,31)))))))))</x:f>
      </x:c>
      <x:c r="I110" t="str">
        <x:f>IF(A110="","",'Benefits Master'!H110)</x:f>
      </x:c>
      <x:c r="J110" t="str">
        <x:f>IF(A110="","",SUMIFS('Benefit Usage Log'!$H:$H,'Benefit Usage Log'!$E:$E,A110,'Benefit Usage Log'!$G:$G,G110))</x:f>
      </x:c>
      <x:c r="K110" t="str">
        <x:f>IF(A110="","",MAX(0,I110-J110))</x:f>
      </x:c>
      <x:c r="L110" t="str">
        <x:f>IF(A110="","",IF(I110=0,0,MIN(1,J110/I110)))</x:f>
      </x:c>
      <x:c r="M110" t="str">
        <x:f>IF(A110="","",IF(ISNUMBER(H110)=FALSE,"Review Terms",IF(J110&gt;=I110,"Used",IF(AND(J110&gt;0,J110&lt;I110,H110&lt;TODAY()),"Missed",IF(AND(J110=0,H110&lt;TODAY()),"Missed",IF(AND(I110-J110&gt;0,H110-TODAY()&lt;='Benefits Master'!N110),"Expiring Soon",IF(J110&gt;0,"Partially Used","Not Used")))))))</x:f>
      </x:c>
      <x:c r="N110" t="str">
        <x:f>IF(A110="","",IF(ISNUMBER(H110),H110-TODAY(),""))</x:f>
      </x:c>
      <x:c r="O110" t="str">
        <x:f>IF(A110="","",'Benefits Master'!P110)</x:f>
      </x:c>
      <x:c r="P110" t="str">
        <x:f>IF(A110="","",'Benefits Master'!Q110)</x:f>
      </x:c>
      <x:c r="Q110" t="str">
        <x:f>IF(A110="","",'Benefits Master'!S110)</x:f>
      </x:c>
    </x:row>
    <x:row r="111">
      <x:c r="A111" t="str">
        <x:f>IF('Benefits Master'!A111="","",'Benefits Master'!A111)</x:f>
      </x:c>
      <x:c r="B111" t="str">
        <x:f>IF(A111="","",'Benefits Master'!B111)</x:f>
      </x:c>
      <x:c r="C111" t="str">
        <x:f>IF(A111="","",'Benefits Master'!D111)</x:f>
      </x:c>
      <x:c r="D111" t="str">
        <x:f>IF(A111="","",'Benefits Master'!E111)</x:f>
      </x:c>
      <x:c r="E111" t="str">
        <x:f>IF(A111="","",'Benefits Master'!J111)</x:f>
      </x:c>
      <x:c r="F111" t="str">
        <x:f>IF(A111="","",'Benefits Master'!K111)</x:f>
      </x:c>
      <x:c r="G111" t="str">
        <x:f>IF(A111="","",IF(F111="Jan-Jun",YEAR(TODAY())&amp;"-H1",IF(F111="Jul-Dec",YEAR(TODAY())&amp;"-H2",IF(E111="Monthly",TEXT(TODAY(),"yyyy-mm"),IF(E111="Quarterly",YEAR(TODAY())&amp;"-Q"&amp;ROUNDUP(MONTH(TODAY())/3,0),IF(E111="Semiannual",IF(MONTH(TODAY())&lt;=6,YEAR(TODAY())&amp;"-H1",YEAR(TODAY())&amp;"-H2"),IF(E111="Annual",YEAR(TODAY()),IF(E111="One-time","One-time","Custom"))))))))</x:f>
      </x:c>
      <x:c r="H111" t="str">
        <x:f>IF(A111="","",IF('Benefits Master'!M111&lt;&gt;"",'Benefits Master'!M111,IF('Benefits Master'!L111="End of Month",EOMONTH(TODAY(),0),IF('Benefits Master'!L111="End of Quarter",EOMONTH(DATE(YEAR(TODAY()),ROUNDUP(MONTH(TODAY())/3,0)*3,1),0),IF('Benefits Master'!L111="June 30",DATE(YEAR(TODAY()),6,30),IF('Benefits Master'!L111="Dec 31",DATE(YEAR(TODAY()),12,31),IF('Benefits Master'!L111="Card Anniversary","Enter open date",IF('Benefits Master'!L111="Specific Date","Set specific date",DATE(YEAR(TODAY()),12,31)))))))))</x:f>
      </x:c>
      <x:c r="I111" t="str">
        <x:f>IF(A111="","",'Benefits Master'!H111)</x:f>
      </x:c>
      <x:c r="J111" t="str">
        <x:f>IF(A111="","",SUMIFS('Benefit Usage Log'!$H:$H,'Benefit Usage Log'!$E:$E,A111,'Benefit Usage Log'!$G:$G,G111))</x:f>
      </x:c>
      <x:c r="K111" t="str">
        <x:f>IF(A111="","",MAX(0,I111-J111))</x:f>
      </x:c>
      <x:c r="L111" t="str">
        <x:f>IF(A111="","",IF(I111=0,0,MIN(1,J111/I111)))</x:f>
      </x:c>
      <x:c r="M111" t="str">
        <x:f>IF(A111="","",IF(ISNUMBER(H111)=FALSE,"Review Terms",IF(J111&gt;=I111,"Used",IF(AND(J111&gt;0,J111&lt;I111,H111&lt;TODAY()),"Missed",IF(AND(J111=0,H111&lt;TODAY()),"Missed",IF(AND(I111-J111&gt;0,H111-TODAY()&lt;='Benefits Master'!N111),"Expiring Soon",IF(J111&gt;0,"Partially Used","Not Used")))))))</x:f>
      </x:c>
      <x:c r="N111" t="str">
        <x:f>IF(A111="","",IF(ISNUMBER(H111),H111-TODAY(),""))</x:f>
      </x:c>
      <x:c r="O111" t="str">
        <x:f>IF(A111="","",'Benefits Master'!P111)</x:f>
      </x:c>
      <x:c r="P111" t="str">
        <x:f>IF(A111="","",'Benefits Master'!Q111)</x:f>
      </x:c>
      <x:c r="Q111" t="str">
        <x:f>IF(A111="","",'Benefits Master'!S111)</x:f>
      </x:c>
    </x:row>
    <x:row r="112">
      <x:c r="A112" t="str">
        <x:f>IF('Benefits Master'!A112="","",'Benefits Master'!A112)</x:f>
      </x:c>
      <x:c r="B112" t="str">
        <x:f>IF(A112="","",'Benefits Master'!B112)</x:f>
      </x:c>
      <x:c r="C112" t="str">
        <x:f>IF(A112="","",'Benefits Master'!D112)</x:f>
      </x:c>
      <x:c r="D112" t="str">
        <x:f>IF(A112="","",'Benefits Master'!E112)</x:f>
      </x:c>
      <x:c r="E112" t="str">
        <x:f>IF(A112="","",'Benefits Master'!J112)</x:f>
      </x:c>
      <x:c r="F112" t="str">
        <x:f>IF(A112="","",'Benefits Master'!K112)</x:f>
      </x:c>
      <x:c r="G112" t="str">
        <x:f>IF(A112="","",IF(F112="Jan-Jun",YEAR(TODAY())&amp;"-H1",IF(F112="Jul-Dec",YEAR(TODAY())&amp;"-H2",IF(E112="Monthly",TEXT(TODAY(),"yyyy-mm"),IF(E112="Quarterly",YEAR(TODAY())&amp;"-Q"&amp;ROUNDUP(MONTH(TODAY())/3,0),IF(E112="Semiannual",IF(MONTH(TODAY())&lt;=6,YEAR(TODAY())&amp;"-H1",YEAR(TODAY())&amp;"-H2"),IF(E112="Annual",YEAR(TODAY()),IF(E112="One-time","One-time","Custom"))))))))</x:f>
      </x:c>
      <x:c r="H112" t="str">
        <x:f>IF(A112="","",IF('Benefits Master'!M112&lt;&gt;"",'Benefits Master'!M112,IF('Benefits Master'!L112="End of Month",EOMONTH(TODAY(),0),IF('Benefits Master'!L112="End of Quarter",EOMONTH(DATE(YEAR(TODAY()),ROUNDUP(MONTH(TODAY())/3,0)*3,1),0),IF('Benefits Master'!L112="June 30",DATE(YEAR(TODAY()),6,30),IF('Benefits Master'!L112="Dec 31",DATE(YEAR(TODAY()),12,31),IF('Benefits Master'!L112="Card Anniversary","Enter open date",IF('Benefits Master'!L112="Specific Date","Set specific date",DATE(YEAR(TODAY()),12,31)))))))))</x:f>
      </x:c>
      <x:c r="I112" t="str">
        <x:f>IF(A112="","",'Benefits Master'!H112)</x:f>
      </x:c>
      <x:c r="J112" t="str">
        <x:f>IF(A112="","",SUMIFS('Benefit Usage Log'!$H:$H,'Benefit Usage Log'!$E:$E,A112,'Benefit Usage Log'!$G:$G,G112))</x:f>
      </x:c>
      <x:c r="K112" t="str">
        <x:f>IF(A112="","",MAX(0,I112-J112))</x:f>
      </x:c>
      <x:c r="L112" t="str">
        <x:f>IF(A112="","",IF(I112=0,0,MIN(1,J112/I112)))</x:f>
      </x:c>
      <x:c r="M112" t="str">
        <x:f>IF(A112="","",IF(ISNUMBER(H112)=FALSE,"Review Terms",IF(J112&gt;=I112,"Used",IF(AND(J112&gt;0,J112&lt;I112,H112&lt;TODAY()),"Missed",IF(AND(J112=0,H112&lt;TODAY()),"Missed",IF(AND(I112-J112&gt;0,H112-TODAY()&lt;='Benefits Master'!N112),"Expiring Soon",IF(J112&gt;0,"Partially Used","Not Used")))))))</x:f>
      </x:c>
      <x:c r="N112" t="str">
        <x:f>IF(A112="","",IF(ISNUMBER(H112),H112-TODAY(),""))</x:f>
      </x:c>
      <x:c r="O112" t="str">
        <x:f>IF(A112="","",'Benefits Master'!P112)</x:f>
      </x:c>
      <x:c r="P112" t="str">
        <x:f>IF(A112="","",'Benefits Master'!Q112)</x:f>
      </x:c>
      <x:c r="Q112" t="str">
        <x:f>IF(A112="","",'Benefits Master'!S112)</x:f>
      </x:c>
    </x:row>
    <x:row r="113">
      <x:c r="A113" t="str">
        <x:f>IF('Benefits Master'!A113="","",'Benefits Master'!A113)</x:f>
      </x:c>
      <x:c r="B113" t="str">
        <x:f>IF(A113="","",'Benefits Master'!B113)</x:f>
      </x:c>
      <x:c r="C113" t="str">
        <x:f>IF(A113="","",'Benefits Master'!D113)</x:f>
      </x:c>
      <x:c r="D113" t="str">
        <x:f>IF(A113="","",'Benefits Master'!E113)</x:f>
      </x:c>
      <x:c r="E113" t="str">
        <x:f>IF(A113="","",'Benefits Master'!J113)</x:f>
      </x:c>
      <x:c r="F113" t="str">
        <x:f>IF(A113="","",'Benefits Master'!K113)</x:f>
      </x:c>
      <x:c r="G113" t="str">
        <x:f>IF(A113="","",IF(F113="Jan-Jun",YEAR(TODAY())&amp;"-H1",IF(F113="Jul-Dec",YEAR(TODAY())&amp;"-H2",IF(E113="Monthly",TEXT(TODAY(),"yyyy-mm"),IF(E113="Quarterly",YEAR(TODAY())&amp;"-Q"&amp;ROUNDUP(MONTH(TODAY())/3,0),IF(E113="Semiannual",IF(MONTH(TODAY())&lt;=6,YEAR(TODAY())&amp;"-H1",YEAR(TODAY())&amp;"-H2"),IF(E113="Annual",YEAR(TODAY()),IF(E113="One-time","One-time","Custom"))))))))</x:f>
      </x:c>
      <x:c r="H113" t="str">
        <x:f>IF(A113="","",IF('Benefits Master'!M113&lt;&gt;"",'Benefits Master'!M113,IF('Benefits Master'!L113="End of Month",EOMONTH(TODAY(),0),IF('Benefits Master'!L113="End of Quarter",EOMONTH(DATE(YEAR(TODAY()),ROUNDUP(MONTH(TODAY())/3,0)*3,1),0),IF('Benefits Master'!L113="June 30",DATE(YEAR(TODAY()),6,30),IF('Benefits Master'!L113="Dec 31",DATE(YEAR(TODAY()),12,31),IF('Benefits Master'!L113="Card Anniversary","Enter open date",IF('Benefits Master'!L113="Specific Date","Set specific date",DATE(YEAR(TODAY()),12,31)))))))))</x:f>
      </x:c>
      <x:c r="I113" t="str">
        <x:f>IF(A113="","",'Benefits Master'!H113)</x:f>
      </x:c>
      <x:c r="J113" t="str">
        <x:f>IF(A113="","",SUMIFS('Benefit Usage Log'!$H:$H,'Benefit Usage Log'!$E:$E,A113,'Benefit Usage Log'!$G:$G,G113))</x:f>
      </x:c>
      <x:c r="K113" t="str">
        <x:f>IF(A113="","",MAX(0,I113-J113))</x:f>
      </x:c>
      <x:c r="L113" t="str">
        <x:f>IF(A113="","",IF(I113=0,0,MIN(1,J113/I113)))</x:f>
      </x:c>
      <x:c r="M113" t="str">
        <x:f>IF(A113="","",IF(ISNUMBER(H113)=FALSE,"Review Terms",IF(J113&gt;=I113,"Used",IF(AND(J113&gt;0,J113&lt;I113,H113&lt;TODAY()),"Missed",IF(AND(J113=0,H113&lt;TODAY()),"Missed",IF(AND(I113-J113&gt;0,H113-TODAY()&lt;='Benefits Master'!N113),"Expiring Soon",IF(J113&gt;0,"Partially Used","Not Used")))))))</x:f>
      </x:c>
      <x:c r="N113" t="str">
        <x:f>IF(A113="","",IF(ISNUMBER(H113),H113-TODAY(),""))</x:f>
      </x:c>
      <x:c r="O113" t="str">
        <x:f>IF(A113="","",'Benefits Master'!P113)</x:f>
      </x:c>
      <x:c r="P113" t="str">
        <x:f>IF(A113="","",'Benefits Master'!Q113)</x:f>
      </x:c>
      <x:c r="Q113" t="str">
        <x:f>IF(A113="","",'Benefits Master'!S113)</x:f>
      </x:c>
    </x:row>
    <x:row r="114">
      <x:c r="A114" t="str">
        <x:f>IF('Benefits Master'!A114="","",'Benefits Master'!A114)</x:f>
      </x:c>
      <x:c r="B114" t="str">
        <x:f>IF(A114="","",'Benefits Master'!B114)</x:f>
      </x:c>
      <x:c r="C114" t="str">
        <x:f>IF(A114="","",'Benefits Master'!D114)</x:f>
      </x:c>
      <x:c r="D114" t="str">
        <x:f>IF(A114="","",'Benefits Master'!E114)</x:f>
      </x:c>
      <x:c r="E114" t="str">
        <x:f>IF(A114="","",'Benefits Master'!J114)</x:f>
      </x:c>
      <x:c r="F114" t="str">
        <x:f>IF(A114="","",'Benefits Master'!K114)</x:f>
      </x:c>
      <x:c r="G114" t="str">
        <x:f>IF(A114="","",IF(F114="Jan-Jun",YEAR(TODAY())&amp;"-H1",IF(F114="Jul-Dec",YEAR(TODAY())&amp;"-H2",IF(E114="Monthly",TEXT(TODAY(),"yyyy-mm"),IF(E114="Quarterly",YEAR(TODAY())&amp;"-Q"&amp;ROUNDUP(MONTH(TODAY())/3,0),IF(E114="Semiannual",IF(MONTH(TODAY())&lt;=6,YEAR(TODAY())&amp;"-H1",YEAR(TODAY())&amp;"-H2"),IF(E114="Annual",YEAR(TODAY()),IF(E114="One-time","One-time","Custom"))))))))</x:f>
      </x:c>
      <x:c r="H114" t="str">
        <x:f>IF(A114="","",IF('Benefits Master'!M114&lt;&gt;"",'Benefits Master'!M114,IF('Benefits Master'!L114="End of Month",EOMONTH(TODAY(),0),IF('Benefits Master'!L114="End of Quarter",EOMONTH(DATE(YEAR(TODAY()),ROUNDUP(MONTH(TODAY())/3,0)*3,1),0),IF('Benefits Master'!L114="June 30",DATE(YEAR(TODAY()),6,30),IF('Benefits Master'!L114="Dec 31",DATE(YEAR(TODAY()),12,31),IF('Benefits Master'!L114="Card Anniversary","Enter open date",IF('Benefits Master'!L114="Specific Date","Set specific date",DATE(YEAR(TODAY()),12,31)))))))))</x:f>
      </x:c>
      <x:c r="I114" t="str">
        <x:f>IF(A114="","",'Benefits Master'!H114)</x:f>
      </x:c>
      <x:c r="J114" t="str">
        <x:f>IF(A114="","",SUMIFS('Benefit Usage Log'!$H:$H,'Benefit Usage Log'!$E:$E,A114,'Benefit Usage Log'!$G:$G,G114))</x:f>
      </x:c>
      <x:c r="K114" t="str">
        <x:f>IF(A114="","",MAX(0,I114-J114))</x:f>
      </x:c>
      <x:c r="L114" t="str">
        <x:f>IF(A114="","",IF(I114=0,0,MIN(1,J114/I114)))</x:f>
      </x:c>
      <x:c r="M114" t="str">
        <x:f>IF(A114="","",IF(ISNUMBER(H114)=FALSE,"Review Terms",IF(J114&gt;=I114,"Used",IF(AND(J114&gt;0,J114&lt;I114,H114&lt;TODAY()),"Missed",IF(AND(J114=0,H114&lt;TODAY()),"Missed",IF(AND(I114-J114&gt;0,H114-TODAY()&lt;='Benefits Master'!N114),"Expiring Soon",IF(J114&gt;0,"Partially Used","Not Used")))))))</x:f>
      </x:c>
      <x:c r="N114" t="str">
        <x:f>IF(A114="","",IF(ISNUMBER(H114),H114-TODAY(),""))</x:f>
      </x:c>
      <x:c r="O114" t="str">
        <x:f>IF(A114="","",'Benefits Master'!P114)</x:f>
      </x:c>
      <x:c r="P114" t="str">
        <x:f>IF(A114="","",'Benefits Master'!Q114)</x:f>
      </x:c>
      <x:c r="Q114" t="str">
        <x:f>IF(A114="","",'Benefits Master'!S114)</x:f>
      </x:c>
    </x:row>
    <x:row r="115">
      <x:c r="A115" t="str">
        <x:f>IF('Benefits Master'!A115="","",'Benefits Master'!A115)</x:f>
      </x:c>
      <x:c r="B115" t="str">
        <x:f>IF(A115="","",'Benefits Master'!B115)</x:f>
      </x:c>
      <x:c r="C115" t="str">
        <x:f>IF(A115="","",'Benefits Master'!D115)</x:f>
      </x:c>
      <x:c r="D115" t="str">
        <x:f>IF(A115="","",'Benefits Master'!E115)</x:f>
      </x:c>
      <x:c r="E115" t="str">
        <x:f>IF(A115="","",'Benefits Master'!J115)</x:f>
      </x:c>
      <x:c r="F115" t="str">
        <x:f>IF(A115="","",'Benefits Master'!K115)</x:f>
      </x:c>
      <x:c r="G115" t="str">
        <x:f>IF(A115="","",IF(F115="Jan-Jun",YEAR(TODAY())&amp;"-H1",IF(F115="Jul-Dec",YEAR(TODAY())&amp;"-H2",IF(E115="Monthly",TEXT(TODAY(),"yyyy-mm"),IF(E115="Quarterly",YEAR(TODAY())&amp;"-Q"&amp;ROUNDUP(MONTH(TODAY())/3,0),IF(E115="Semiannual",IF(MONTH(TODAY())&lt;=6,YEAR(TODAY())&amp;"-H1",YEAR(TODAY())&amp;"-H2"),IF(E115="Annual",YEAR(TODAY()),IF(E115="One-time","One-time","Custom"))))))))</x:f>
      </x:c>
      <x:c r="H115" t="str">
        <x:f>IF(A115="","",IF('Benefits Master'!M115&lt;&gt;"",'Benefits Master'!M115,IF('Benefits Master'!L115="End of Month",EOMONTH(TODAY(),0),IF('Benefits Master'!L115="End of Quarter",EOMONTH(DATE(YEAR(TODAY()),ROUNDUP(MONTH(TODAY())/3,0)*3,1),0),IF('Benefits Master'!L115="June 30",DATE(YEAR(TODAY()),6,30),IF('Benefits Master'!L115="Dec 31",DATE(YEAR(TODAY()),12,31),IF('Benefits Master'!L115="Card Anniversary","Enter open date",IF('Benefits Master'!L115="Specific Date","Set specific date",DATE(YEAR(TODAY()),12,31)))))))))</x:f>
      </x:c>
      <x:c r="I115" t="str">
        <x:f>IF(A115="","",'Benefits Master'!H115)</x:f>
      </x:c>
      <x:c r="J115" t="str">
        <x:f>IF(A115="","",SUMIFS('Benefit Usage Log'!$H:$H,'Benefit Usage Log'!$E:$E,A115,'Benefit Usage Log'!$G:$G,G115))</x:f>
      </x:c>
      <x:c r="K115" t="str">
        <x:f>IF(A115="","",MAX(0,I115-J115))</x:f>
      </x:c>
      <x:c r="L115" t="str">
        <x:f>IF(A115="","",IF(I115=0,0,MIN(1,J115/I115)))</x:f>
      </x:c>
      <x:c r="M115" t="str">
        <x:f>IF(A115="","",IF(ISNUMBER(H115)=FALSE,"Review Terms",IF(J115&gt;=I115,"Used",IF(AND(J115&gt;0,J115&lt;I115,H115&lt;TODAY()),"Missed",IF(AND(J115=0,H115&lt;TODAY()),"Missed",IF(AND(I115-J115&gt;0,H115-TODAY()&lt;='Benefits Master'!N115),"Expiring Soon",IF(J115&gt;0,"Partially Used","Not Used")))))))</x:f>
      </x:c>
      <x:c r="N115" t="str">
        <x:f>IF(A115="","",IF(ISNUMBER(H115),H115-TODAY(),""))</x:f>
      </x:c>
      <x:c r="O115" t="str">
        <x:f>IF(A115="","",'Benefits Master'!P115)</x:f>
      </x:c>
      <x:c r="P115" t="str">
        <x:f>IF(A115="","",'Benefits Master'!Q115)</x:f>
      </x:c>
      <x:c r="Q115" t="str">
        <x:f>IF(A115="","",'Benefits Master'!S115)</x:f>
      </x:c>
    </x:row>
    <x:row r="116">
      <x:c r="A116" t="str">
        <x:f>IF('Benefits Master'!A116="","",'Benefits Master'!A116)</x:f>
      </x:c>
      <x:c r="B116" t="str">
        <x:f>IF(A116="","",'Benefits Master'!B116)</x:f>
      </x:c>
      <x:c r="C116" t="str">
        <x:f>IF(A116="","",'Benefits Master'!D116)</x:f>
      </x:c>
      <x:c r="D116" t="str">
        <x:f>IF(A116="","",'Benefits Master'!E116)</x:f>
      </x:c>
      <x:c r="E116" t="str">
        <x:f>IF(A116="","",'Benefits Master'!J116)</x:f>
      </x:c>
      <x:c r="F116" t="str">
        <x:f>IF(A116="","",'Benefits Master'!K116)</x:f>
      </x:c>
      <x:c r="G116" t="str">
        <x:f>IF(A116="","",IF(F116="Jan-Jun",YEAR(TODAY())&amp;"-H1",IF(F116="Jul-Dec",YEAR(TODAY())&amp;"-H2",IF(E116="Monthly",TEXT(TODAY(),"yyyy-mm"),IF(E116="Quarterly",YEAR(TODAY())&amp;"-Q"&amp;ROUNDUP(MONTH(TODAY())/3,0),IF(E116="Semiannual",IF(MONTH(TODAY())&lt;=6,YEAR(TODAY())&amp;"-H1",YEAR(TODAY())&amp;"-H2"),IF(E116="Annual",YEAR(TODAY()),IF(E116="One-time","One-time","Custom"))))))))</x:f>
      </x:c>
      <x:c r="H116" t="str">
        <x:f>IF(A116="","",IF('Benefits Master'!M116&lt;&gt;"",'Benefits Master'!M116,IF('Benefits Master'!L116="End of Month",EOMONTH(TODAY(),0),IF('Benefits Master'!L116="End of Quarter",EOMONTH(DATE(YEAR(TODAY()),ROUNDUP(MONTH(TODAY())/3,0)*3,1),0),IF('Benefits Master'!L116="June 30",DATE(YEAR(TODAY()),6,30),IF('Benefits Master'!L116="Dec 31",DATE(YEAR(TODAY()),12,31),IF('Benefits Master'!L116="Card Anniversary","Enter open date",IF('Benefits Master'!L116="Specific Date","Set specific date",DATE(YEAR(TODAY()),12,31)))))))))</x:f>
      </x:c>
      <x:c r="I116" t="str">
        <x:f>IF(A116="","",'Benefits Master'!H116)</x:f>
      </x:c>
      <x:c r="J116" t="str">
        <x:f>IF(A116="","",SUMIFS('Benefit Usage Log'!$H:$H,'Benefit Usage Log'!$E:$E,A116,'Benefit Usage Log'!$G:$G,G116))</x:f>
      </x:c>
      <x:c r="K116" t="str">
        <x:f>IF(A116="","",MAX(0,I116-J116))</x:f>
      </x:c>
      <x:c r="L116" t="str">
        <x:f>IF(A116="","",IF(I116=0,0,MIN(1,J116/I116)))</x:f>
      </x:c>
      <x:c r="M116" t="str">
        <x:f>IF(A116="","",IF(ISNUMBER(H116)=FALSE,"Review Terms",IF(J116&gt;=I116,"Used",IF(AND(J116&gt;0,J116&lt;I116,H116&lt;TODAY()),"Missed",IF(AND(J116=0,H116&lt;TODAY()),"Missed",IF(AND(I116-J116&gt;0,H116-TODAY()&lt;='Benefits Master'!N116),"Expiring Soon",IF(J116&gt;0,"Partially Used","Not Used")))))))</x:f>
      </x:c>
      <x:c r="N116" t="str">
        <x:f>IF(A116="","",IF(ISNUMBER(H116),H116-TODAY(),""))</x:f>
      </x:c>
      <x:c r="O116" t="str">
        <x:f>IF(A116="","",'Benefits Master'!P116)</x:f>
      </x:c>
      <x:c r="P116" t="str">
        <x:f>IF(A116="","",'Benefits Master'!Q116)</x:f>
      </x:c>
      <x:c r="Q116" t="str">
        <x:f>IF(A116="","",'Benefits Master'!S116)</x:f>
      </x:c>
    </x:row>
    <x:row r="117">
      <x:c r="A117" t="str">
        <x:f>IF('Benefits Master'!A117="","",'Benefits Master'!A117)</x:f>
      </x:c>
      <x:c r="B117" t="str">
        <x:f>IF(A117="","",'Benefits Master'!B117)</x:f>
      </x:c>
      <x:c r="C117" t="str">
        <x:f>IF(A117="","",'Benefits Master'!D117)</x:f>
      </x:c>
      <x:c r="D117" t="str">
        <x:f>IF(A117="","",'Benefits Master'!E117)</x:f>
      </x:c>
      <x:c r="E117" t="str">
        <x:f>IF(A117="","",'Benefits Master'!J117)</x:f>
      </x:c>
      <x:c r="F117" t="str">
        <x:f>IF(A117="","",'Benefits Master'!K117)</x:f>
      </x:c>
      <x:c r="G117" t="str">
        <x:f>IF(A117="","",IF(F117="Jan-Jun",YEAR(TODAY())&amp;"-H1",IF(F117="Jul-Dec",YEAR(TODAY())&amp;"-H2",IF(E117="Monthly",TEXT(TODAY(),"yyyy-mm"),IF(E117="Quarterly",YEAR(TODAY())&amp;"-Q"&amp;ROUNDUP(MONTH(TODAY())/3,0),IF(E117="Semiannual",IF(MONTH(TODAY())&lt;=6,YEAR(TODAY())&amp;"-H1",YEAR(TODAY())&amp;"-H2"),IF(E117="Annual",YEAR(TODAY()),IF(E117="One-time","One-time","Custom"))))))))</x:f>
      </x:c>
      <x:c r="H117" t="str">
        <x:f>IF(A117="","",IF('Benefits Master'!M117&lt;&gt;"",'Benefits Master'!M117,IF('Benefits Master'!L117="End of Month",EOMONTH(TODAY(),0),IF('Benefits Master'!L117="End of Quarter",EOMONTH(DATE(YEAR(TODAY()),ROUNDUP(MONTH(TODAY())/3,0)*3,1),0),IF('Benefits Master'!L117="June 30",DATE(YEAR(TODAY()),6,30),IF('Benefits Master'!L117="Dec 31",DATE(YEAR(TODAY()),12,31),IF('Benefits Master'!L117="Card Anniversary","Enter open date",IF('Benefits Master'!L117="Specific Date","Set specific date",DATE(YEAR(TODAY()),12,31)))))))))</x:f>
      </x:c>
      <x:c r="I117" t="str">
        <x:f>IF(A117="","",'Benefits Master'!H117)</x:f>
      </x:c>
      <x:c r="J117" t="str">
        <x:f>IF(A117="","",SUMIFS('Benefit Usage Log'!$H:$H,'Benefit Usage Log'!$E:$E,A117,'Benefit Usage Log'!$G:$G,G117))</x:f>
      </x:c>
      <x:c r="K117" t="str">
        <x:f>IF(A117="","",MAX(0,I117-J117))</x:f>
      </x:c>
      <x:c r="L117" t="str">
        <x:f>IF(A117="","",IF(I117=0,0,MIN(1,J117/I117)))</x:f>
      </x:c>
      <x:c r="M117" t="str">
        <x:f>IF(A117="","",IF(ISNUMBER(H117)=FALSE,"Review Terms",IF(J117&gt;=I117,"Used",IF(AND(J117&gt;0,J117&lt;I117,H117&lt;TODAY()),"Missed",IF(AND(J117=0,H117&lt;TODAY()),"Missed",IF(AND(I117-J117&gt;0,H117-TODAY()&lt;='Benefits Master'!N117),"Expiring Soon",IF(J117&gt;0,"Partially Used","Not Used")))))))</x:f>
      </x:c>
      <x:c r="N117" t="str">
        <x:f>IF(A117="","",IF(ISNUMBER(H117),H117-TODAY(),""))</x:f>
      </x:c>
      <x:c r="O117" t="str">
        <x:f>IF(A117="","",'Benefits Master'!P117)</x:f>
      </x:c>
      <x:c r="P117" t="str">
        <x:f>IF(A117="","",'Benefits Master'!Q117)</x:f>
      </x:c>
      <x:c r="Q117" t="str">
        <x:f>IF(A117="","",'Benefits Master'!S117)</x:f>
      </x:c>
    </x:row>
    <x:row r="118">
      <x:c r="A118" t="str">
        <x:f>IF('Benefits Master'!A118="","",'Benefits Master'!A118)</x:f>
      </x:c>
      <x:c r="B118" t="str">
        <x:f>IF(A118="","",'Benefits Master'!B118)</x:f>
      </x:c>
      <x:c r="C118" t="str">
        <x:f>IF(A118="","",'Benefits Master'!D118)</x:f>
      </x:c>
      <x:c r="D118" t="str">
        <x:f>IF(A118="","",'Benefits Master'!E118)</x:f>
      </x:c>
      <x:c r="E118" t="str">
        <x:f>IF(A118="","",'Benefits Master'!J118)</x:f>
      </x:c>
      <x:c r="F118" t="str">
        <x:f>IF(A118="","",'Benefits Master'!K118)</x:f>
      </x:c>
      <x:c r="G118" t="str">
        <x:f>IF(A118="","",IF(F118="Jan-Jun",YEAR(TODAY())&amp;"-H1",IF(F118="Jul-Dec",YEAR(TODAY())&amp;"-H2",IF(E118="Monthly",TEXT(TODAY(),"yyyy-mm"),IF(E118="Quarterly",YEAR(TODAY())&amp;"-Q"&amp;ROUNDUP(MONTH(TODAY())/3,0),IF(E118="Semiannual",IF(MONTH(TODAY())&lt;=6,YEAR(TODAY())&amp;"-H1",YEAR(TODAY())&amp;"-H2"),IF(E118="Annual",YEAR(TODAY()),IF(E118="One-time","One-time","Custom"))))))))</x:f>
      </x:c>
      <x:c r="H118" t="str">
        <x:f>IF(A118="","",IF('Benefits Master'!M118&lt;&gt;"",'Benefits Master'!M118,IF('Benefits Master'!L118="End of Month",EOMONTH(TODAY(),0),IF('Benefits Master'!L118="End of Quarter",EOMONTH(DATE(YEAR(TODAY()),ROUNDUP(MONTH(TODAY())/3,0)*3,1),0),IF('Benefits Master'!L118="June 30",DATE(YEAR(TODAY()),6,30),IF('Benefits Master'!L118="Dec 31",DATE(YEAR(TODAY()),12,31),IF('Benefits Master'!L118="Card Anniversary","Enter open date",IF('Benefits Master'!L118="Specific Date","Set specific date",DATE(YEAR(TODAY()),12,31)))))))))</x:f>
      </x:c>
      <x:c r="I118" t="str">
        <x:f>IF(A118="","",'Benefits Master'!H118)</x:f>
      </x:c>
      <x:c r="J118" t="str">
        <x:f>IF(A118="","",SUMIFS('Benefit Usage Log'!$H:$H,'Benefit Usage Log'!$E:$E,A118,'Benefit Usage Log'!$G:$G,G118))</x:f>
      </x:c>
      <x:c r="K118" t="str">
        <x:f>IF(A118="","",MAX(0,I118-J118))</x:f>
      </x:c>
      <x:c r="L118" t="str">
        <x:f>IF(A118="","",IF(I118=0,0,MIN(1,J118/I118)))</x:f>
      </x:c>
      <x:c r="M118" t="str">
        <x:f>IF(A118="","",IF(ISNUMBER(H118)=FALSE,"Review Terms",IF(J118&gt;=I118,"Used",IF(AND(J118&gt;0,J118&lt;I118,H118&lt;TODAY()),"Missed",IF(AND(J118=0,H118&lt;TODAY()),"Missed",IF(AND(I118-J118&gt;0,H118-TODAY()&lt;='Benefits Master'!N118),"Expiring Soon",IF(J118&gt;0,"Partially Used","Not Used")))))))</x:f>
      </x:c>
      <x:c r="N118" t="str">
        <x:f>IF(A118="","",IF(ISNUMBER(H118),H118-TODAY(),""))</x:f>
      </x:c>
      <x:c r="O118" t="str">
        <x:f>IF(A118="","",'Benefits Master'!P118)</x:f>
      </x:c>
      <x:c r="P118" t="str">
        <x:f>IF(A118="","",'Benefits Master'!Q118)</x:f>
      </x:c>
      <x:c r="Q118" t="str">
        <x:f>IF(A118="","",'Benefits Master'!S118)</x:f>
      </x:c>
    </x:row>
    <x:row r="119">
      <x:c r="A119" t="str">
        <x:f>IF('Benefits Master'!A119="","",'Benefits Master'!A119)</x:f>
      </x:c>
      <x:c r="B119" t="str">
        <x:f>IF(A119="","",'Benefits Master'!B119)</x:f>
      </x:c>
      <x:c r="C119" t="str">
        <x:f>IF(A119="","",'Benefits Master'!D119)</x:f>
      </x:c>
      <x:c r="D119" t="str">
        <x:f>IF(A119="","",'Benefits Master'!E119)</x:f>
      </x:c>
      <x:c r="E119" t="str">
        <x:f>IF(A119="","",'Benefits Master'!J119)</x:f>
      </x:c>
      <x:c r="F119" t="str">
        <x:f>IF(A119="","",'Benefits Master'!K119)</x:f>
      </x:c>
      <x:c r="G119" t="str">
        <x:f>IF(A119="","",IF(F119="Jan-Jun",YEAR(TODAY())&amp;"-H1",IF(F119="Jul-Dec",YEAR(TODAY())&amp;"-H2",IF(E119="Monthly",TEXT(TODAY(),"yyyy-mm"),IF(E119="Quarterly",YEAR(TODAY())&amp;"-Q"&amp;ROUNDUP(MONTH(TODAY())/3,0),IF(E119="Semiannual",IF(MONTH(TODAY())&lt;=6,YEAR(TODAY())&amp;"-H1",YEAR(TODAY())&amp;"-H2"),IF(E119="Annual",YEAR(TODAY()),IF(E119="One-time","One-time","Custom"))))))))</x:f>
      </x:c>
      <x:c r="H119" t="str">
        <x:f>IF(A119="","",IF('Benefits Master'!M119&lt;&gt;"",'Benefits Master'!M119,IF('Benefits Master'!L119="End of Month",EOMONTH(TODAY(),0),IF('Benefits Master'!L119="End of Quarter",EOMONTH(DATE(YEAR(TODAY()),ROUNDUP(MONTH(TODAY())/3,0)*3,1),0),IF('Benefits Master'!L119="June 30",DATE(YEAR(TODAY()),6,30),IF('Benefits Master'!L119="Dec 31",DATE(YEAR(TODAY()),12,31),IF('Benefits Master'!L119="Card Anniversary","Enter open date",IF('Benefits Master'!L119="Specific Date","Set specific date",DATE(YEAR(TODAY()),12,31)))))))))</x:f>
      </x:c>
      <x:c r="I119" t="str">
        <x:f>IF(A119="","",'Benefits Master'!H119)</x:f>
      </x:c>
      <x:c r="J119" t="str">
        <x:f>IF(A119="","",SUMIFS('Benefit Usage Log'!$H:$H,'Benefit Usage Log'!$E:$E,A119,'Benefit Usage Log'!$G:$G,G119))</x:f>
      </x:c>
      <x:c r="K119" t="str">
        <x:f>IF(A119="","",MAX(0,I119-J119))</x:f>
      </x:c>
      <x:c r="L119" t="str">
        <x:f>IF(A119="","",IF(I119=0,0,MIN(1,J119/I119)))</x:f>
      </x:c>
      <x:c r="M119" t="str">
        <x:f>IF(A119="","",IF(ISNUMBER(H119)=FALSE,"Review Terms",IF(J119&gt;=I119,"Used",IF(AND(J119&gt;0,J119&lt;I119,H119&lt;TODAY()),"Missed",IF(AND(J119=0,H119&lt;TODAY()),"Missed",IF(AND(I119-J119&gt;0,H119-TODAY()&lt;='Benefits Master'!N119),"Expiring Soon",IF(J119&gt;0,"Partially Used","Not Used")))))))</x:f>
      </x:c>
      <x:c r="N119" t="str">
        <x:f>IF(A119="","",IF(ISNUMBER(H119),H119-TODAY(),""))</x:f>
      </x:c>
      <x:c r="O119" t="str">
        <x:f>IF(A119="","",'Benefits Master'!P119)</x:f>
      </x:c>
      <x:c r="P119" t="str">
        <x:f>IF(A119="","",'Benefits Master'!Q119)</x:f>
      </x:c>
      <x:c r="Q119" t="str">
        <x:f>IF(A119="","",'Benefits Master'!S119)</x:f>
      </x:c>
    </x:row>
    <x:row r="120">
      <x:c r="A120" t="str">
        <x:f>IF('Benefits Master'!A120="","",'Benefits Master'!A120)</x:f>
      </x:c>
      <x:c r="B120" t="str">
        <x:f>IF(A120="","",'Benefits Master'!B120)</x:f>
      </x:c>
      <x:c r="C120" t="str">
        <x:f>IF(A120="","",'Benefits Master'!D120)</x:f>
      </x:c>
      <x:c r="D120" t="str">
        <x:f>IF(A120="","",'Benefits Master'!E120)</x:f>
      </x:c>
      <x:c r="E120" t="str">
        <x:f>IF(A120="","",'Benefits Master'!J120)</x:f>
      </x:c>
      <x:c r="F120" t="str">
        <x:f>IF(A120="","",'Benefits Master'!K120)</x:f>
      </x:c>
      <x:c r="G120" t="str">
        <x:f>IF(A120="","",IF(F120="Jan-Jun",YEAR(TODAY())&amp;"-H1",IF(F120="Jul-Dec",YEAR(TODAY())&amp;"-H2",IF(E120="Monthly",TEXT(TODAY(),"yyyy-mm"),IF(E120="Quarterly",YEAR(TODAY())&amp;"-Q"&amp;ROUNDUP(MONTH(TODAY())/3,0),IF(E120="Semiannual",IF(MONTH(TODAY())&lt;=6,YEAR(TODAY())&amp;"-H1",YEAR(TODAY())&amp;"-H2"),IF(E120="Annual",YEAR(TODAY()),IF(E120="One-time","One-time","Custom"))))))))</x:f>
      </x:c>
      <x:c r="H120" t="str">
        <x:f>IF(A120="","",IF('Benefits Master'!M120&lt;&gt;"",'Benefits Master'!M120,IF('Benefits Master'!L120="End of Month",EOMONTH(TODAY(),0),IF('Benefits Master'!L120="End of Quarter",EOMONTH(DATE(YEAR(TODAY()),ROUNDUP(MONTH(TODAY())/3,0)*3,1),0),IF('Benefits Master'!L120="June 30",DATE(YEAR(TODAY()),6,30),IF('Benefits Master'!L120="Dec 31",DATE(YEAR(TODAY()),12,31),IF('Benefits Master'!L120="Card Anniversary","Enter open date",IF('Benefits Master'!L120="Specific Date","Set specific date",DATE(YEAR(TODAY()),12,31)))))))))</x:f>
      </x:c>
      <x:c r="I120" t="str">
        <x:f>IF(A120="","",'Benefits Master'!H120)</x:f>
      </x:c>
      <x:c r="J120" t="str">
        <x:f>IF(A120="","",SUMIFS('Benefit Usage Log'!$H:$H,'Benefit Usage Log'!$E:$E,A120,'Benefit Usage Log'!$G:$G,G120))</x:f>
      </x:c>
      <x:c r="K120" t="str">
        <x:f>IF(A120="","",MAX(0,I120-J120))</x:f>
      </x:c>
      <x:c r="L120" t="str">
        <x:f>IF(A120="","",IF(I120=0,0,MIN(1,J120/I120)))</x:f>
      </x:c>
      <x:c r="M120" t="str">
        <x:f>IF(A120="","",IF(ISNUMBER(H120)=FALSE,"Review Terms",IF(J120&gt;=I120,"Used",IF(AND(J120&gt;0,J120&lt;I120,H120&lt;TODAY()),"Missed",IF(AND(J120=0,H120&lt;TODAY()),"Missed",IF(AND(I120-J120&gt;0,H120-TODAY()&lt;='Benefits Master'!N120),"Expiring Soon",IF(J120&gt;0,"Partially Used","Not Used")))))))</x:f>
      </x:c>
      <x:c r="N120" t="str">
        <x:f>IF(A120="","",IF(ISNUMBER(H120),H120-TODAY(),""))</x:f>
      </x:c>
      <x:c r="O120" t="str">
        <x:f>IF(A120="","",'Benefits Master'!P120)</x:f>
      </x:c>
      <x:c r="P120" t="str">
        <x:f>IF(A120="","",'Benefits Master'!Q120)</x:f>
      </x:c>
      <x:c r="Q120" t="str">
        <x:f>IF(A120="","",'Benefits Master'!S120)</x:f>
      </x:c>
    </x:row>
    <x:row r="121">
      <x:c r="A121" t="str">
        <x:f>IF('Benefits Master'!A121="","",'Benefits Master'!A121)</x:f>
      </x:c>
      <x:c r="B121" t="str">
        <x:f>IF(A121="","",'Benefits Master'!B121)</x:f>
      </x:c>
      <x:c r="C121" t="str">
        <x:f>IF(A121="","",'Benefits Master'!D121)</x:f>
      </x:c>
      <x:c r="D121" t="str">
        <x:f>IF(A121="","",'Benefits Master'!E121)</x:f>
      </x:c>
      <x:c r="E121" t="str">
        <x:f>IF(A121="","",'Benefits Master'!J121)</x:f>
      </x:c>
      <x:c r="F121" t="str">
        <x:f>IF(A121="","",'Benefits Master'!K121)</x:f>
      </x:c>
      <x:c r="G121" t="str">
        <x:f>IF(A121="","",IF(F121="Jan-Jun",YEAR(TODAY())&amp;"-H1",IF(F121="Jul-Dec",YEAR(TODAY())&amp;"-H2",IF(E121="Monthly",TEXT(TODAY(),"yyyy-mm"),IF(E121="Quarterly",YEAR(TODAY())&amp;"-Q"&amp;ROUNDUP(MONTH(TODAY())/3,0),IF(E121="Semiannual",IF(MONTH(TODAY())&lt;=6,YEAR(TODAY())&amp;"-H1",YEAR(TODAY())&amp;"-H2"),IF(E121="Annual",YEAR(TODAY()),IF(E121="One-time","One-time","Custom"))))))))</x:f>
      </x:c>
      <x:c r="H121" t="str">
        <x:f>IF(A121="","",IF('Benefits Master'!M121&lt;&gt;"",'Benefits Master'!M121,IF('Benefits Master'!L121="End of Month",EOMONTH(TODAY(),0),IF('Benefits Master'!L121="End of Quarter",EOMONTH(DATE(YEAR(TODAY()),ROUNDUP(MONTH(TODAY())/3,0)*3,1),0),IF('Benefits Master'!L121="June 30",DATE(YEAR(TODAY()),6,30),IF('Benefits Master'!L121="Dec 31",DATE(YEAR(TODAY()),12,31),IF('Benefits Master'!L121="Card Anniversary","Enter open date",IF('Benefits Master'!L121="Specific Date","Set specific date",DATE(YEAR(TODAY()),12,31)))))))))</x:f>
      </x:c>
      <x:c r="I121" t="str">
        <x:f>IF(A121="","",'Benefits Master'!H121)</x:f>
      </x:c>
      <x:c r="J121" t="str">
        <x:f>IF(A121="","",SUMIFS('Benefit Usage Log'!$H:$H,'Benefit Usage Log'!$E:$E,A121,'Benefit Usage Log'!$G:$G,G121))</x:f>
      </x:c>
      <x:c r="K121" t="str">
        <x:f>IF(A121="","",MAX(0,I121-J121))</x:f>
      </x:c>
      <x:c r="L121" t="str">
        <x:f>IF(A121="","",IF(I121=0,0,MIN(1,J121/I121)))</x:f>
      </x:c>
      <x:c r="M121" t="str">
        <x:f>IF(A121="","",IF(ISNUMBER(H121)=FALSE,"Review Terms",IF(J121&gt;=I121,"Used",IF(AND(J121&gt;0,J121&lt;I121,H121&lt;TODAY()),"Missed",IF(AND(J121=0,H121&lt;TODAY()),"Missed",IF(AND(I121-J121&gt;0,H121-TODAY()&lt;='Benefits Master'!N121),"Expiring Soon",IF(J121&gt;0,"Partially Used","Not Used")))))))</x:f>
      </x:c>
      <x:c r="N121" t="str">
        <x:f>IF(A121="","",IF(ISNUMBER(H121),H121-TODAY(),""))</x:f>
      </x:c>
      <x:c r="O121" t="str">
        <x:f>IF(A121="","",'Benefits Master'!P121)</x:f>
      </x:c>
      <x:c r="P121" t="str">
        <x:f>IF(A121="","",'Benefits Master'!Q121)</x:f>
      </x:c>
      <x:c r="Q121" t="str">
        <x:f>IF(A121="","",'Benefits Master'!S121)</x:f>
      </x:c>
    </x:row>
    <x:row r="122">
      <x:c r="A122" t="str">
        <x:f>IF('Benefits Master'!A122="","",'Benefits Master'!A122)</x:f>
      </x:c>
      <x:c r="B122" t="str">
        <x:f>IF(A122="","",'Benefits Master'!B122)</x:f>
      </x:c>
      <x:c r="C122" t="str">
        <x:f>IF(A122="","",'Benefits Master'!D122)</x:f>
      </x:c>
      <x:c r="D122" t="str">
        <x:f>IF(A122="","",'Benefits Master'!E122)</x:f>
      </x:c>
      <x:c r="E122" t="str">
        <x:f>IF(A122="","",'Benefits Master'!J122)</x:f>
      </x:c>
      <x:c r="F122" t="str">
        <x:f>IF(A122="","",'Benefits Master'!K122)</x:f>
      </x:c>
      <x:c r="G122" t="str">
        <x:f>IF(A122="","",IF(F122="Jan-Jun",YEAR(TODAY())&amp;"-H1",IF(F122="Jul-Dec",YEAR(TODAY())&amp;"-H2",IF(E122="Monthly",TEXT(TODAY(),"yyyy-mm"),IF(E122="Quarterly",YEAR(TODAY())&amp;"-Q"&amp;ROUNDUP(MONTH(TODAY())/3,0),IF(E122="Semiannual",IF(MONTH(TODAY())&lt;=6,YEAR(TODAY())&amp;"-H1",YEAR(TODAY())&amp;"-H2"),IF(E122="Annual",YEAR(TODAY()),IF(E122="One-time","One-time","Custom"))))))))</x:f>
      </x:c>
      <x:c r="H122" t="str">
        <x:f>IF(A122="","",IF('Benefits Master'!M122&lt;&gt;"",'Benefits Master'!M122,IF('Benefits Master'!L122="End of Month",EOMONTH(TODAY(),0),IF('Benefits Master'!L122="End of Quarter",EOMONTH(DATE(YEAR(TODAY()),ROUNDUP(MONTH(TODAY())/3,0)*3,1),0),IF('Benefits Master'!L122="June 30",DATE(YEAR(TODAY()),6,30),IF('Benefits Master'!L122="Dec 31",DATE(YEAR(TODAY()),12,31),IF('Benefits Master'!L122="Card Anniversary","Enter open date",IF('Benefits Master'!L122="Specific Date","Set specific date",DATE(YEAR(TODAY()),12,31)))))))))</x:f>
      </x:c>
      <x:c r="I122" t="str">
        <x:f>IF(A122="","",'Benefits Master'!H122)</x:f>
      </x:c>
      <x:c r="J122" t="str">
        <x:f>IF(A122="","",SUMIFS('Benefit Usage Log'!$H:$H,'Benefit Usage Log'!$E:$E,A122,'Benefit Usage Log'!$G:$G,G122))</x:f>
      </x:c>
      <x:c r="K122" t="str">
        <x:f>IF(A122="","",MAX(0,I122-J122))</x:f>
      </x:c>
      <x:c r="L122" t="str">
        <x:f>IF(A122="","",IF(I122=0,0,MIN(1,J122/I122)))</x:f>
      </x:c>
      <x:c r="M122" t="str">
        <x:f>IF(A122="","",IF(ISNUMBER(H122)=FALSE,"Review Terms",IF(J122&gt;=I122,"Used",IF(AND(J122&gt;0,J122&lt;I122,H122&lt;TODAY()),"Missed",IF(AND(J122=0,H122&lt;TODAY()),"Missed",IF(AND(I122-J122&gt;0,H122-TODAY()&lt;='Benefits Master'!N122),"Expiring Soon",IF(J122&gt;0,"Partially Used","Not Used")))))))</x:f>
      </x:c>
      <x:c r="N122" t="str">
        <x:f>IF(A122="","",IF(ISNUMBER(H122),H122-TODAY(),""))</x:f>
      </x:c>
      <x:c r="O122" t="str">
        <x:f>IF(A122="","",'Benefits Master'!P122)</x:f>
      </x:c>
      <x:c r="P122" t="str">
        <x:f>IF(A122="","",'Benefits Master'!Q122)</x:f>
      </x:c>
      <x:c r="Q122" t="str">
        <x:f>IF(A122="","",'Benefits Master'!S122)</x:f>
      </x:c>
    </x:row>
    <x:row r="123">
      <x:c r="A123" t="str">
        <x:f>IF('Benefits Master'!A123="","",'Benefits Master'!A123)</x:f>
      </x:c>
      <x:c r="B123" t="str">
        <x:f>IF(A123="","",'Benefits Master'!B123)</x:f>
      </x:c>
      <x:c r="C123" t="str">
        <x:f>IF(A123="","",'Benefits Master'!D123)</x:f>
      </x:c>
      <x:c r="D123" t="str">
        <x:f>IF(A123="","",'Benefits Master'!E123)</x:f>
      </x:c>
      <x:c r="E123" t="str">
        <x:f>IF(A123="","",'Benefits Master'!J123)</x:f>
      </x:c>
      <x:c r="F123" t="str">
        <x:f>IF(A123="","",'Benefits Master'!K123)</x:f>
      </x:c>
      <x:c r="G123" t="str">
        <x:f>IF(A123="","",IF(F123="Jan-Jun",YEAR(TODAY())&amp;"-H1",IF(F123="Jul-Dec",YEAR(TODAY())&amp;"-H2",IF(E123="Monthly",TEXT(TODAY(),"yyyy-mm"),IF(E123="Quarterly",YEAR(TODAY())&amp;"-Q"&amp;ROUNDUP(MONTH(TODAY())/3,0),IF(E123="Semiannual",IF(MONTH(TODAY())&lt;=6,YEAR(TODAY())&amp;"-H1",YEAR(TODAY())&amp;"-H2"),IF(E123="Annual",YEAR(TODAY()),IF(E123="One-time","One-time","Custom"))))))))</x:f>
      </x:c>
      <x:c r="H123" t="str">
        <x:f>IF(A123="","",IF('Benefits Master'!M123&lt;&gt;"",'Benefits Master'!M123,IF('Benefits Master'!L123="End of Month",EOMONTH(TODAY(),0),IF('Benefits Master'!L123="End of Quarter",EOMONTH(DATE(YEAR(TODAY()),ROUNDUP(MONTH(TODAY())/3,0)*3,1),0),IF('Benefits Master'!L123="June 30",DATE(YEAR(TODAY()),6,30),IF('Benefits Master'!L123="Dec 31",DATE(YEAR(TODAY()),12,31),IF('Benefits Master'!L123="Card Anniversary","Enter open date",IF('Benefits Master'!L123="Specific Date","Set specific date",DATE(YEAR(TODAY()),12,31)))))))))</x:f>
      </x:c>
      <x:c r="I123" t="str">
        <x:f>IF(A123="","",'Benefits Master'!H123)</x:f>
      </x:c>
      <x:c r="J123" t="str">
        <x:f>IF(A123="","",SUMIFS('Benefit Usage Log'!$H:$H,'Benefit Usage Log'!$E:$E,A123,'Benefit Usage Log'!$G:$G,G123))</x:f>
      </x:c>
      <x:c r="K123" t="str">
        <x:f>IF(A123="","",MAX(0,I123-J123))</x:f>
      </x:c>
      <x:c r="L123" t="str">
        <x:f>IF(A123="","",IF(I123=0,0,MIN(1,J123/I123)))</x:f>
      </x:c>
      <x:c r="M123" t="str">
        <x:f>IF(A123="","",IF(ISNUMBER(H123)=FALSE,"Review Terms",IF(J123&gt;=I123,"Used",IF(AND(J123&gt;0,J123&lt;I123,H123&lt;TODAY()),"Missed",IF(AND(J123=0,H123&lt;TODAY()),"Missed",IF(AND(I123-J123&gt;0,H123-TODAY()&lt;='Benefits Master'!N123),"Expiring Soon",IF(J123&gt;0,"Partially Used","Not Used")))))))</x:f>
      </x:c>
      <x:c r="N123" t="str">
        <x:f>IF(A123="","",IF(ISNUMBER(H123),H123-TODAY(),""))</x:f>
      </x:c>
      <x:c r="O123" t="str">
        <x:f>IF(A123="","",'Benefits Master'!P123)</x:f>
      </x:c>
      <x:c r="P123" t="str">
        <x:f>IF(A123="","",'Benefits Master'!Q123)</x:f>
      </x:c>
      <x:c r="Q123" t="str">
        <x:f>IF(A123="","",'Benefits Master'!S123)</x:f>
      </x:c>
    </x:row>
    <x:row r="124">
      <x:c r="A124" t="str">
        <x:f>IF('Benefits Master'!A124="","",'Benefits Master'!A124)</x:f>
      </x:c>
      <x:c r="B124" t="str">
        <x:f>IF(A124="","",'Benefits Master'!B124)</x:f>
      </x:c>
      <x:c r="C124" t="str">
        <x:f>IF(A124="","",'Benefits Master'!D124)</x:f>
      </x:c>
      <x:c r="D124" t="str">
        <x:f>IF(A124="","",'Benefits Master'!E124)</x:f>
      </x:c>
      <x:c r="E124" t="str">
        <x:f>IF(A124="","",'Benefits Master'!J124)</x:f>
      </x:c>
      <x:c r="F124" t="str">
        <x:f>IF(A124="","",'Benefits Master'!K124)</x:f>
      </x:c>
      <x:c r="G124" t="str">
        <x:f>IF(A124="","",IF(F124="Jan-Jun",YEAR(TODAY())&amp;"-H1",IF(F124="Jul-Dec",YEAR(TODAY())&amp;"-H2",IF(E124="Monthly",TEXT(TODAY(),"yyyy-mm"),IF(E124="Quarterly",YEAR(TODAY())&amp;"-Q"&amp;ROUNDUP(MONTH(TODAY())/3,0),IF(E124="Semiannual",IF(MONTH(TODAY())&lt;=6,YEAR(TODAY())&amp;"-H1",YEAR(TODAY())&amp;"-H2"),IF(E124="Annual",YEAR(TODAY()),IF(E124="One-time","One-time","Custom"))))))))</x:f>
      </x:c>
      <x:c r="H124" t="str">
        <x:f>IF(A124="","",IF('Benefits Master'!M124&lt;&gt;"",'Benefits Master'!M124,IF('Benefits Master'!L124="End of Month",EOMONTH(TODAY(),0),IF('Benefits Master'!L124="End of Quarter",EOMONTH(DATE(YEAR(TODAY()),ROUNDUP(MONTH(TODAY())/3,0)*3,1),0),IF('Benefits Master'!L124="June 30",DATE(YEAR(TODAY()),6,30),IF('Benefits Master'!L124="Dec 31",DATE(YEAR(TODAY()),12,31),IF('Benefits Master'!L124="Card Anniversary","Enter open date",IF('Benefits Master'!L124="Specific Date","Set specific date",DATE(YEAR(TODAY()),12,31)))))))))</x:f>
      </x:c>
      <x:c r="I124" t="str">
        <x:f>IF(A124="","",'Benefits Master'!H124)</x:f>
      </x:c>
      <x:c r="J124" t="str">
        <x:f>IF(A124="","",SUMIFS('Benefit Usage Log'!$H:$H,'Benefit Usage Log'!$E:$E,A124,'Benefit Usage Log'!$G:$G,G124))</x:f>
      </x:c>
      <x:c r="K124" t="str">
        <x:f>IF(A124="","",MAX(0,I124-J124))</x:f>
      </x:c>
      <x:c r="L124" t="str">
        <x:f>IF(A124="","",IF(I124=0,0,MIN(1,J124/I124)))</x:f>
      </x:c>
      <x:c r="M124" t="str">
        <x:f>IF(A124="","",IF(ISNUMBER(H124)=FALSE,"Review Terms",IF(J124&gt;=I124,"Used",IF(AND(J124&gt;0,J124&lt;I124,H124&lt;TODAY()),"Missed",IF(AND(J124=0,H124&lt;TODAY()),"Missed",IF(AND(I124-J124&gt;0,H124-TODAY()&lt;='Benefits Master'!N124),"Expiring Soon",IF(J124&gt;0,"Partially Used","Not Used")))))))</x:f>
      </x:c>
      <x:c r="N124" t="str">
        <x:f>IF(A124="","",IF(ISNUMBER(H124),H124-TODAY(),""))</x:f>
      </x:c>
      <x:c r="O124" t="str">
        <x:f>IF(A124="","",'Benefits Master'!P124)</x:f>
      </x:c>
      <x:c r="P124" t="str">
        <x:f>IF(A124="","",'Benefits Master'!Q124)</x:f>
      </x:c>
      <x:c r="Q124" t="str">
        <x:f>IF(A124="","",'Benefits Master'!S124)</x:f>
      </x:c>
    </x:row>
    <x:row r="125">
      <x:c r="A125" t="str">
        <x:f>IF('Benefits Master'!A125="","",'Benefits Master'!A125)</x:f>
      </x:c>
      <x:c r="B125" t="str">
        <x:f>IF(A125="","",'Benefits Master'!B125)</x:f>
      </x:c>
      <x:c r="C125" t="str">
        <x:f>IF(A125="","",'Benefits Master'!D125)</x:f>
      </x:c>
      <x:c r="D125" t="str">
        <x:f>IF(A125="","",'Benefits Master'!E125)</x:f>
      </x:c>
      <x:c r="E125" t="str">
        <x:f>IF(A125="","",'Benefits Master'!J125)</x:f>
      </x:c>
      <x:c r="F125" t="str">
        <x:f>IF(A125="","",'Benefits Master'!K125)</x:f>
      </x:c>
      <x:c r="G125" t="str">
        <x:f>IF(A125="","",IF(F125="Jan-Jun",YEAR(TODAY())&amp;"-H1",IF(F125="Jul-Dec",YEAR(TODAY())&amp;"-H2",IF(E125="Monthly",TEXT(TODAY(),"yyyy-mm"),IF(E125="Quarterly",YEAR(TODAY())&amp;"-Q"&amp;ROUNDUP(MONTH(TODAY())/3,0),IF(E125="Semiannual",IF(MONTH(TODAY())&lt;=6,YEAR(TODAY())&amp;"-H1",YEAR(TODAY())&amp;"-H2"),IF(E125="Annual",YEAR(TODAY()),IF(E125="One-time","One-time","Custom"))))))))</x:f>
      </x:c>
      <x:c r="H125" t="str">
        <x:f>IF(A125="","",IF('Benefits Master'!M125&lt;&gt;"",'Benefits Master'!M125,IF('Benefits Master'!L125="End of Month",EOMONTH(TODAY(),0),IF('Benefits Master'!L125="End of Quarter",EOMONTH(DATE(YEAR(TODAY()),ROUNDUP(MONTH(TODAY())/3,0)*3,1),0),IF('Benefits Master'!L125="June 30",DATE(YEAR(TODAY()),6,30),IF('Benefits Master'!L125="Dec 31",DATE(YEAR(TODAY()),12,31),IF('Benefits Master'!L125="Card Anniversary","Enter open date",IF('Benefits Master'!L125="Specific Date","Set specific date",DATE(YEAR(TODAY()),12,31)))))))))</x:f>
      </x:c>
      <x:c r="I125" t="str">
        <x:f>IF(A125="","",'Benefits Master'!H125)</x:f>
      </x:c>
      <x:c r="J125" t="str">
        <x:f>IF(A125="","",SUMIFS('Benefit Usage Log'!$H:$H,'Benefit Usage Log'!$E:$E,A125,'Benefit Usage Log'!$G:$G,G125))</x:f>
      </x:c>
      <x:c r="K125" t="str">
        <x:f>IF(A125="","",MAX(0,I125-J125))</x:f>
      </x:c>
      <x:c r="L125" t="str">
        <x:f>IF(A125="","",IF(I125=0,0,MIN(1,J125/I125)))</x:f>
      </x:c>
      <x:c r="M125" t="str">
        <x:f>IF(A125="","",IF(ISNUMBER(H125)=FALSE,"Review Terms",IF(J125&gt;=I125,"Used",IF(AND(J125&gt;0,J125&lt;I125,H125&lt;TODAY()),"Missed",IF(AND(J125=0,H125&lt;TODAY()),"Missed",IF(AND(I125-J125&gt;0,H125-TODAY()&lt;='Benefits Master'!N125),"Expiring Soon",IF(J125&gt;0,"Partially Used","Not Used")))))))</x:f>
      </x:c>
      <x:c r="N125" t="str">
        <x:f>IF(A125="","",IF(ISNUMBER(H125),H125-TODAY(),""))</x:f>
      </x:c>
      <x:c r="O125" t="str">
        <x:f>IF(A125="","",'Benefits Master'!P125)</x:f>
      </x:c>
      <x:c r="P125" t="str">
        <x:f>IF(A125="","",'Benefits Master'!Q125)</x:f>
      </x:c>
      <x:c r="Q125" t="str">
        <x:f>IF(A125="","",'Benefits Master'!S125)</x:f>
      </x:c>
    </x:row>
    <x:row r="126">
      <x:c r="A126" t="str">
        <x:f>IF('Benefits Master'!A126="","",'Benefits Master'!A126)</x:f>
      </x:c>
      <x:c r="B126" t="str">
        <x:f>IF(A126="","",'Benefits Master'!B126)</x:f>
      </x:c>
      <x:c r="C126" t="str">
        <x:f>IF(A126="","",'Benefits Master'!D126)</x:f>
      </x:c>
      <x:c r="D126" t="str">
        <x:f>IF(A126="","",'Benefits Master'!E126)</x:f>
      </x:c>
      <x:c r="E126" t="str">
        <x:f>IF(A126="","",'Benefits Master'!J126)</x:f>
      </x:c>
      <x:c r="F126" t="str">
        <x:f>IF(A126="","",'Benefits Master'!K126)</x:f>
      </x:c>
      <x:c r="G126" t="str">
        <x:f>IF(A126="","",IF(F126="Jan-Jun",YEAR(TODAY())&amp;"-H1",IF(F126="Jul-Dec",YEAR(TODAY())&amp;"-H2",IF(E126="Monthly",TEXT(TODAY(),"yyyy-mm"),IF(E126="Quarterly",YEAR(TODAY())&amp;"-Q"&amp;ROUNDUP(MONTH(TODAY())/3,0),IF(E126="Semiannual",IF(MONTH(TODAY())&lt;=6,YEAR(TODAY())&amp;"-H1",YEAR(TODAY())&amp;"-H2"),IF(E126="Annual",YEAR(TODAY()),IF(E126="One-time","One-time","Custom"))))))))</x:f>
      </x:c>
      <x:c r="H126" t="str">
        <x:f>IF(A126="","",IF('Benefits Master'!M126&lt;&gt;"",'Benefits Master'!M126,IF('Benefits Master'!L126="End of Month",EOMONTH(TODAY(),0),IF('Benefits Master'!L126="End of Quarter",EOMONTH(DATE(YEAR(TODAY()),ROUNDUP(MONTH(TODAY())/3,0)*3,1),0),IF('Benefits Master'!L126="June 30",DATE(YEAR(TODAY()),6,30),IF('Benefits Master'!L126="Dec 31",DATE(YEAR(TODAY()),12,31),IF('Benefits Master'!L126="Card Anniversary","Enter open date",IF('Benefits Master'!L126="Specific Date","Set specific date",DATE(YEAR(TODAY()),12,31)))))))))</x:f>
      </x:c>
      <x:c r="I126" t="str">
        <x:f>IF(A126="","",'Benefits Master'!H126)</x:f>
      </x:c>
      <x:c r="J126" t="str">
        <x:f>IF(A126="","",SUMIFS('Benefit Usage Log'!$H:$H,'Benefit Usage Log'!$E:$E,A126,'Benefit Usage Log'!$G:$G,G126))</x:f>
      </x:c>
      <x:c r="K126" t="str">
        <x:f>IF(A126="","",MAX(0,I126-J126))</x:f>
      </x:c>
      <x:c r="L126" t="str">
        <x:f>IF(A126="","",IF(I126=0,0,MIN(1,J126/I126)))</x:f>
      </x:c>
      <x:c r="M126" t="str">
        <x:f>IF(A126="","",IF(ISNUMBER(H126)=FALSE,"Review Terms",IF(J126&gt;=I126,"Used",IF(AND(J126&gt;0,J126&lt;I126,H126&lt;TODAY()),"Missed",IF(AND(J126=0,H126&lt;TODAY()),"Missed",IF(AND(I126-J126&gt;0,H126-TODAY()&lt;='Benefits Master'!N126),"Expiring Soon",IF(J126&gt;0,"Partially Used","Not Used")))))))</x:f>
      </x:c>
      <x:c r="N126" t="str">
        <x:f>IF(A126="","",IF(ISNUMBER(H126),H126-TODAY(),""))</x:f>
      </x:c>
      <x:c r="O126" t="str">
        <x:f>IF(A126="","",'Benefits Master'!P126)</x:f>
      </x:c>
      <x:c r="P126" t="str">
        <x:f>IF(A126="","",'Benefits Master'!Q126)</x:f>
      </x:c>
      <x:c r="Q126" t="str">
        <x:f>IF(A126="","",'Benefits Master'!S126)</x:f>
      </x:c>
    </x:row>
    <x:row r="127">
      <x:c r="A127" t="str">
        <x:f>IF('Benefits Master'!A127="","",'Benefits Master'!A127)</x:f>
      </x:c>
      <x:c r="B127" t="str">
        <x:f>IF(A127="","",'Benefits Master'!B127)</x:f>
      </x:c>
      <x:c r="C127" t="str">
        <x:f>IF(A127="","",'Benefits Master'!D127)</x:f>
      </x:c>
      <x:c r="D127" t="str">
        <x:f>IF(A127="","",'Benefits Master'!E127)</x:f>
      </x:c>
      <x:c r="E127" t="str">
        <x:f>IF(A127="","",'Benefits Master'!J127)</x:f>
      </x:c>
      <x:c r="F127" t="str">
        <x:f>IF(A127="","",'Benefits Master'!K127)</x:f>
      </x:c>
      <x:c r="G127" t="str">
        <x:f>IF(A127="","",IF(F127="Jan-Jun",YEAR(TODAY())&amp;"-H1",IF(F127="Jul-Dec",YEAR(TODAY())&amp;"-H2",IF(E127="Monthly",TEXT(TODAY(),"yyyy-mm"),IF(E127="Quarterly",YEAR(TODAY())&amp;"-Q"&amp;ROUNDUP(MONTH(TODAY())/3,0),IF(E127="Semiannual",IF(MONTH(TODAY())&lt;=6,YEAR(TODAY())&amp;"-H1",YEAR(TODAY())&amp;"-H2"),IF(E127="Annual",YEAR(TODAY()),IF(E127="One-time","One-time","Custom"))))))))</x:f>
      </x:c>
      <x:c r="H127" t="str">
        <x:f>IF(A127="","",IF('Benefits Master'!M127&lt;&gt;"",'Benefits Master'!M127,IF('Benefits Master'!L127="End of Month",EOMONTH(TODAY(),0),IF('Benefits Master'!L127="End of Quarter",EOMONTH(DATE(YEAR(TODAY()),ROUNDUP(MONTH(TODAY())/3,0)*3,1),0),IF('Benefits Master'!L127="June 30",DATE(YEAR(TODAY()),6,30),IF('Benefits Master'!L127="Dec 31",DATE(YEAR(TODAY()),12,31),IF('Benefits Master'!L127="Card Anniversary","Enter open date",IF('Benefits Master'!L127="Specific Date","Set specific date",DATE(YEAR(TODAY()),12,31)))))))))</x:f>
      </x:c>
      <x:c r="I127" t="str">
        <x:f>IF(A127="","",'Benefits Master'!H127)</x:f>
      </x:c>
      <x:c r="J127" t="str">
        <x:f>IF(A127="","",SUMIFS('Benefit Usage Log'!$H:$H,'Benefit Usage Log'!$E:$E,A127,'Benefit Usage Log'!$G:$G,G127))</x:f>
      </x:c>
      <x:c r="K127" t="str">
        <x:f>IF(A127="","",MAX(0,I127-J127))</x:f>
      </x:c>
      <x:c r="L127" t="str">
        <x:f>IF(A127="","",IF(I127=0,0,MIN(1,J127/I127)))</x:f>
      </x:c>
      <x:c r="M127" t="str">
        <x:f>IF(A127="","",IF(ISNUMBER(H127)=FALSE,"Review Terms",IF(J127&gt;=I127,"Used",IF(AND(J127&gt;0,J127&lt;I127,H127&lt;TODAY()),"Missed",IF(AND(J127=0,H127&lt;TODAY()),"Missed",IF(AND(I127-J127&gt;0,H127-TODAY()&lt;='Benefits Master'!N127),"Expiring Soon",IF(J127&gt;0,"Partially Used","Not Used")))))))</x:f>
      </x:c>
      <x:c r="N127" t="str">
        <x:f>IF(A127="","",IF(ISNUMBER(H127),H127-TODAY(),""))</x:f>
      </x:c>
      <x:c r="O127" t="str">
        <x:f>IF(A127="","",'Benefits Master'!P127)</x:f>
      </x:c>
      <x:c r="P127" t="str">
        <x:f>IF(A127="","",'Benefits Master'!Q127)</x:f>
      </x:c>
      <x:c r="Q127" t="str">
        <x:f>IF(A127="","",'Benefits Master'!S127)</x:f>
      </x:c>
    </x:row>
    <x:row r="128">
      <x:c r="A128" t="str">
        <x:f>IF('Benefits Master'!A128="","",'Benefits Master'!A128)</x:f>
      </x:c>
      <x:c r="B128" t="str">
        <x:f>IF(A128="","",'Benefits Master'!B128)</x:f>
      </x:c>
      <x:c r="C128" t="str">
        <x:f>IF(A128="","",'Benefits Master'!D128)</x:f>
      </x:c>
      <x:c r="D128" t="str">
        <x:f>IF(A128="","",'Benefits Master'!E128)</x:f>
      </x:c>
      <x:c r="E128" t="str">
        <x:f>IF(A128="","",'Benefits Master'!J128)</x:f>
      </x:c>
      <x:c r="F128" t="str">
        <x:f>IF(A128="","",'Benefits Master'!K128)</x:f>
      </x:c>
      <x:c r="G128" t="str">
        <x:f>IF(A128="","",IF(F128="Jan-Jun",YEAR(TODAY())&amp;"-H1",IF(F128="Jul-Dec",YEAR(TODAY())&amp;"-H2",IF(E128="Monthly",TEXT(TODAY(),"yyyy-mm"),IF(E128="Quarterly",YEAR(TODAY())&amp;"-Q"&amp;ROUNDUP(MONTH(TODAY())/3,0),IF(E128="Semiannual",IF(MONTH(TODAY())&lt;=6,YEAR(TODAY())&amp;"-H1",YEAR(TODAY())&amp;"-H2"),IF(E128="Annual",YEAR(TODAY()),IF(E128="One-time","One-time","Custom"))))))))</x:f>
      </x:c>
      <x:c r="H128" t="str">
        <x:f>IF(A128="","",IF('Benefits Master'!M128&lt;&gt;"",'Benefits Master'!M128,IF('Benefits Master'!L128="End of Month",EOMONTH(TODAY(),0),IF('Benefits Master'!L128="End of Quarter",EOMONTH(DATE(YEAR(TODAY()),ROUNDUP(MONTH(TODAY())/3,0)*3,1),0),IF('Benefits Master'!L128="June 30",DATE(YEAR(TODAY()),6,30),IF('Benefits Master'!L128="Dec 31",DATE(YEAR(TODAY()),12,31),IF('Benefits Master'!L128="Card Anniversary","Enter open date",IF('Benefits Master'!L128="Specific Date","Set specific date",DATE(YEAR(TODAY()),12,31)))))))))</x:f>
      </x:c>
      <x:c r="I128" t="str">
        <x:f>IF(A128="","",'Benefits Master'!H128)</x:f>
      </x:c>
      <x:c r="J128" t="str">
        <x:f>IF(A128="","",SUMIFS('Benefit Usage Log'!$H:$H,'Benefit Usage Log'!$E:$E,A128,'Benefit Usage Log'!$G:$G,G128))</x:f>
      </x:c>
      <x:c r="K128" t="str">
        <x:f>IF(A128="","",MAX(0,I128-J128))</x:f>
      </x:c>
      <x:c r="L128" t="str">
        <x:f>IF(A128="","",IF(I128=0,0,MIN(1,J128/I128)))</x:f>
      </x:c>
      <x:c r="M128" t="str">
        <x:f>IF(A128="","",IF(ISNUMBER(H128)=FALSE,"Review Terms",IF(J128&gt;=I128,"Used",IF(AND(J128&gt;0,J128&lt;I128,H128&lt;TODAY()),"Missed",IF(AND(J128=0,H128&lt;TODAY()),"Missed",IF(AND(I128-J128&gt;0,H128-TODAY()&lt;='Benefits Master'!N128),"Expiring Soon",IF(J128&gt;0,"Partially Used","Not Used")))))))</x:f>
      </x:c>
      <x:c r="N128" t="str">
        <x:f>IF(A128="","",IF(ISNUMBER(H128),H128-TODAY(),""))</x:f>
      </x:c>
      <x:c r="O128" t="str">
        <x:f>IF(A128="","",'Benefits Master'!P128)</x:f>
      </x:c>
      <x:c r="P128" t="str">
        <x:f>IF(A128="","",'Benefits Master'!Q128)</x:f>
      </x:c>
      <x:c r="Q128" t="str">
        <x:f>IF(A128="","",'Benefits Master'!S128)</x:f>
      </x:c>
    </x:row>
    <x:row r="129">
      <x:c r="A129" t="str">
        <x:f>IF('Benefits Master'!A129="","",'Benefits Master'!A129)</x:f>
      </x:c>
      <x:c r="B129" t="str">
        <x:f>IF(A129="","",'Benefits Master'!B129)</x:f>
      </x:c>
      <x:c r="C129" t="str">
        <x:f>IF(A129="","",'Benefits Master'!D129)</x:f>
      </x:c>
      <x:c r="D129" t="str">
        <x:f>IF(A129="","",'Benefits Master'!E129)</x:f>
      </x:c>
      <x:c r="E129" t="str">
        <x:f>IF(A129="","",'Benefits Master'!J129)</x:f>
      </x:c>
      <x:c r="F129" t="str">
        <x:f>IF(A129="","",'Benefits Master'!K129)</x:f>
      </x:c>
      <x:c r="G129" t="str">
        <x:f>IF(A129="","",IF(F129="Jan-Jun",YEAR(TODAY())&amp;"-H1",IF(F129="Jul-Dec",YEAR(TODAY())&amp;"-H2",IF(E129="Monthly",TEXT(TODAY(),"yyyy-mm"),IF(E129="Quarterly",YEAR(TODAY())&amp;"-Q"&amp;ROUNDUP(MONTH(TODAY())/3,0),IF(E129="Semiannual",IF(MONTH(TODAY())&lt;=6,YEAR(TODAY())&amp;"-H1",YEAR(TODAY())&amp;"-H2"),IF(E129="Annual",YEAR(TODAY()),IF(E129="One-time","One-time","Custom"))))))))</x:f>
      </x:c>
      <x:c r="H129" t="str">
        <x:f>IF(A129="","",IF('Benefits Master'!M129&lt;&gt;"",'Benefits Master'!M129,IF('Benefits Master'!L129="End of Month",EOMONTH(TODAY(),0),IF('Benefits Master'!L129="End of Quarter",EOMONTH(DATE(YEAR(TODAY()),ROUNDUP(MONTH(TODAY())/3,0)*3,1),0),IF('Benefits Master'!L129="June 30",DATE(YEAR(TODAY()),6,30),IF('Benefits Master'!L129="Dec 31",DATE(YEAR(TODAY()),12,31),IF('Benefits Master'!L129="Card Anniversary","Enter open date",IF('Benefits Master'!L129="Specific Date","Set specific date",DATE(YEAR(TODAY()),12,31)))))))))</x:f>
      </x:c>
      <x:c r="I129" t="str">
        <x:f>IF(A129="","",'Benefits Master'!H129)</x:f>
      </x:c>
      <x:c r="J129" t="str">
        <x:f>IF(A129="","",SUMIFS('Benefit Usage Log'!$H:$H,'Benefit Usage Log'!$E:$E,A129,'Benefit Usage Log'!$G:$G,G129))</x:f>
      </x:c>
      <x:c r="K129" t="str">
        <x:f>IF(A129="","",MAX(0,I129-J129))</x:f>
      </x:c>
      <x:c r="L129" t="str">
        <x:f>IF(A129="","",IF(I129=0,0,MIN(1,J129/I129)))</x:f>
      </x:c>
      <x:c r="M129" t="str">
        <x:f>IF(A129="","",IF(ISNUMBER(H129)=FALSE,"Review Terms",IF(J129&gt;=I129,"Used",IF(AND(J129&gt;0,J129&lt;I129,H129&lt;TODAY()),"Missed",IF(AND(J129=0,H129&lt;TODAY()),"Missed",IF(AND(I129-J129&gt;0,H129-TODAY()&lt;='Benefits Master'!N129),"Expiring Soon",IF(J129&gt;0,"Partially Used","Not Used")))))))</x:f>
      </x:c>
      <x:c r="N129" t="str">
        <x:f>IF(A129="","",IF(ISNUMBER(H129),H129-TODAY(),""))</x:f>
      </x:c>
      <x:c r="O129" t="str">
        <x:f>IF(A129="","",'Benefits Master'!P129)</x:f>
      </x:c>
      <x:c r="P129" t="str">
        <x:f>IF(A129="","",'Benefits Master'!Q129)</x:f>
      </x:c>
      <x:c r="Q129" t="str">
        <x:f>IF(A129="","",'Benefits Master'!S129)</x:f>
      </x:c>
    </x:row>
    <x:row r="130">
      <x:c r="A130" t="str">
        <x:f>IF('Benefits Master'!A130="","",'Benefits Master'!A130)</x:f>
      </x:c>
      <x:c r="B130" t="str">
        <x:f>IF(A130="","",'Benefits Master'!B130)</x:f>
      </x:c>
      <x:c r="C130" t="str">
        <x:f>IF(A130="","",'Benefits Master'!D130)</x:f>
      </x:c>
      <x:c r="D130" t="str">
        <x:f>IF(A130="","",'Benefits Master'!E130)</x:f>
      </x:c>
      <x:c r="E130" t="str">
        <x:f>IF(A130="","",'Benefits Master'!J130)</x:f>
      </x:c>
      <x:c r="F130" t="str">
        <x:f>IF(A130="","",'Benefits Master'!K130)</x:f>
      </x:c>
      <x:c r="G130" t="str">
        <x:f>IF(A130="","",IF(F130="Jan-Jun",YEAR(TODAY())&amp;"-H1",IF(F130="Jul-Dec",YEAR(TODAY())&amp;"-H2",IF(E130="Monthly",TEXT(TODAY(),"yyyy-mm"),IF(E130="Quarterly",YEAR(TODAY())&amp;"-Q"&amp;ROUNDUP(MONTH(TODAY())/3,0),IF(E130="Semiannual",IF(MONTH(TODAY())&lt;=6,YEAR(TODAY())&amp;"-H1",YEAR(TODAY())&amp;"-H2"),IF(E130="Annual",YEAR(TODAY()),IF(E130="One-time","One-time","Custom"))))))))</x:f>
      </x:c>
      <x:c r="H130" t="str">
        <x:f>IF(A130="","",IF('Benefits Master'!M130&lt;&gt;"",'Benefits Master'!M130,IF('Benefits Master'!L130="End of Month",EOMONTH(TODAY(),0),IF('Benefits Master'!L130="End of Quarter",EOMONTH(DATE(YEAR(TODAY()),ROUNDUP(MONTH(TODAY())/3,0)*3,1),0),IF('Benefits Master'!L130="June 30",DATE(YEAR(TODAY()),6,30),IF('Benefits Master'!L130="Dec 31",DATE(YEAR(TODAY()),12,31),IF('Benefits Master'!L130="Card Anniversary","Enter open date",IF('Benefits Master'!L130="Specific Date","Set specific date",DATE(YEAR(TODAY()),12,31)))))))))</x:f>
      </x:c>
      <x:c r="I130" t="str">
        <x:f>IF(A130="","",'Benefits Master'!H130)</x:f>
      </x:c>
      <x:c r="J130" t="str">
        <x:f>IF(A130="","",SUMIFS('Benefit Usage Log'!$H:$H,'Benefit Usage Log'!$E:$E,A130,'Benefit Usage Log'!$G:$G,G130))</x:f>
      </x:c>
      <x:c r="K130" t="str">
        <x:f>IF(A130="","",MAX(0,I130-J130))</x:f>
      </x:c>
      <x:c r="L130" t="str">
        <x:f>IF(A130="","",IF(I130=0,0,MIN(1,J130/I130)))</x:f>
      </x:c>
      <x:c r="M130" t="str">
        <x:f>IF(A130="","",IF(ISNUMBER(H130)=FALSE,"Review Terms",IF(J130&gt;=I130,"Used",IF(AND(J130&gt;0,J130&lt;I130,H130&lt;TODAY()),"Missed",IF(AND(J130=0,H130&lt;TODAY()),"Missed",IF(AND(I130-J130&gt;0,H130-TODAY()&lt;='Benefits Master'!N130),"Expiring Soon",IF(J130&gt;0,"Partially Used","Not Used")))))))</x:f>
      </x:c>
      <x:c r="N130" t="str">
        <x:f>IF(A130="","",IF(ISNUMBER(H130),H130-TODAY(),""))</x:f>
      </x:c>
      <x:c r="O130" t="str">
        <x:f>IF(A130="","",'Benefits Master'!P130)</x:f>
      </x:c>
      <x:c r="P130" t="str">
        <x:f>IF(A130="","",'Benefits Master'!Q130)</x:f>
      </x:c>
      <x:c r="Q130" t="str">
        <x:f>IF(A130="","",'Benefits Master'!S130)</x:f>
      </x:c>
    </x:row>
    <x:row r="131">
      <x:c r="A131" t="str">
        <x:f>IF('Benefits Master'!A131="","",'Benefits Master'!A131)</x:f>
      </x:c>
      <x:c r="B131" t="str">
        <x:f>IF(A131="","",'Benefits Master'!B131)</x:f>
      </x:c>
      <x:c r="C131" t="str">
        <x:f>IF(A131="","",'Benefits Master'!D131)</x:f>
      </x:c>
      <x:c r="D131" t="str">
        <x:f>IF(A131="","",'Benefits Master'!E131)</x:f>
      </x:c>
      <x:c r="E131" t="str">
        <x:f>IF(A131="","",'Benefits Master'!J131)</x:f>
      </x:c>
      <x:c r="F131" t="str">
        <x:f>IF(A131="","",'Benefits Master'!K131)</x:f>
      </x:c>
      <x:c r="G131" t="str">
        <x:f>IF(A131="","",IF(F131="Jan-Jun",YEAR(TODAY())&amp;"-H1",IF(F131="Jul-Dec",YEAR(TODAY())&amp;"-H2",IF(E131="Monthly",TEXT(TODAY(),"yyyy-mm"),IF(E131="Quarterly",YEAR(TODAY())&amp;"-Q"&amp;ROUNDUP(MONTH(TODAY())/3,0),IF(E131="Semiannual",IF(MONTH(TODAY())&lt;=6,YEAR(TODAY())&amp;"-H1",YEAR(TODAY())&amp;"-H2"),IF(E131="Annual",YEAR(TODAY()),IF(E131="One-time","One-time","Custom"))))))))</x:f>
      </x:c>
      <x:c r="H131" t="str">
        <x:f>IF(A131="","",IF('Benefits Master'!M131&lt;&gt;"",'Benefits Master'!M131,IF('Benefits Master'!L131="End of Month",EOMONTH(TODAY(),0),IF('Benefits Master'!L131="End of Quarter",EOMONTH(DATE(YEAR(TODAY()),ROUNDUP(MONTH(TODAY())/3,0)*3,1),0),IF('Benefits Master'!L131="June 30",DATE(YEAR(TODAY()),6,30),IF('Benefits Master'!L131="Dec 31",DATE(YEAR(TODAY()),12,31),IF('Benefits Master'!L131="Card Anniversary","Enter open date",IF('Benefits Master'!L131="Specific Date","Set specific date",DATE(YEAR(TODAY()),12,31)))))))))</x:f>
      </x:c>
      <x:c r="I131" t="str">
        <x:f>IF(A131="","",'Benefits Master'!H131)</x:f>
      </x:c>
      <x:c r="J131" t="str">
        <x:f>IF(A131="","",SUMIFS('Benefit Usage Log'!$H:$H,'Benefit Usage Log'!$E:$E,A131,'Benefit Usage Log'!$G:$G,G131))</x:f>
      </x:c>
      <x:c r="K131" t="str">
        <x:f>IF(A131="","",MAX(0,I131-J131))</x:f>
      </x:c>
      <x:c r="L131" t="str">
        <x:f>IF(A131="","",IF(I131=0,0,MIN(1,J131/I131)))</x:f>
      </x:c>
      <x:c r="M131" t="str">
        <x:f>IF(A131="","",IF(ISNUMBER(H131)=FALSE,"Review Terms",IF(J131&gt;=I131,"Used",IF(AND(J131&gt;0,J131&lt;I131,H131&lt;TODAY()),"Missed",IF(AND(J131=0,H131&lt;TODAY()),"Missed",IF(AND(I131-J131&gt;0,H131-TODAY()&lt;='Benefits Master'!N131),"Expiring Soon",IF(J131&gt;0,"Partially Used","Not Used")))))))</x:f>
      </x:c>
      <x:c r="N131" t="str">
        <x:f>IF(A131="","",IF(ISNUMBER(H131),H131-TODAY(),""))</x:f>
      </x:c>
      <x:c r="O131" t="str">
        <x:f>IF(A131="","",'Benefits Master'!P131)</x:f>
      </x:c>
      <x:c r="P131" t="str">
        <x:f>IF(A131="","",'Benefits Master'!Q131)</x:f>
      </x:c>
      <x:c r="Q131" t="str">
        <x:f>IF(A131="","",'Benefits Master'!S131)</x:f>
      </x:c>
    </x:row>
    <x:row r="132">
      <x:c r="A132" t="str">
        <x:f>IF('Benefits Master'!A132="","",'Benefits Master'!A132)</x:f>
      </x:c>
      <x:c r="B132" t="str">
        <x:f>IF(A132="","",'Benefits Master'!B132)</x:f>
      </x:c>
      <x:c r="C132" t="str">
        <x:f>IF(A132="","",'Benefits Master'!D132)</x:f>
      </x:c>
      <x:c r="D132" t="str">
        <x:f>IF(A132="","",'Benefits Master'!E132)</x:f>
      </x:c>
      <x:c r="E132" t="str">
        <x:f>IF(A132="","",'Benefits Master'!J132)</x:f>
      </x:c>
      <x:c r="F132" t="str">
        <x:f>IF(A132="","",'Benefits Master'!K132)</x:f>
      </x:c>
      <x:c r="G132" t="str">
        <x:f>IF(A132="","",IF(F132="Jan-Jun",YEAR(TODAY())&amp;"-H1",IF(F132="Jul-Dec",YEAR(TODAY())&amp;"-H2",IF(E132="Monthly",TEXT(TODAY(),"yyyy-mm"),IF(E132="Quarterly",YEAR(TODAY())&amp;"-Q"&amp;ROUNDUP(MONTH(TODAY())/3,0),IF(E132="Semiannual",IF(MONTH(TODAY())&lt;=6,YEAR(TODAY())&amp;"-H1",YEAR(TODAY())&amp;"-H2"),IF(E132="Annual",YEAR(TODAY()),IF(E132="One-time","One-time","Custom"))))))))</x:f>
      </x:c>
      <x:c r="H132" t="str">
        <x:f>IF(A132="","",IF('Benefits Master'!M132&lt;&gt;"",'Benefits Master'!M132,IF('Benefits Master'!L132="End of Month",EOMONTH(TODAY(),0),IF('Benefits Master'!L132="End of Quarter",EOMONTH(DATE(YEAR(TODAY()),ROUNDUP(MONTH(TODAY())/3,0)*3,1),0),IF('Benefits Master'!L132="June 30",DATE(YEAR(TODAY()),6,30),IF('Benefits Master'!L132="Dec 31",DATE(YEAR(TODAY()),12,31),IF('Benefits Master'!L132="Card Anniversary","Enter open date",IF('Benefits Master'!L132="Specific Date","Set specific date",DATE(YEAR(TODAY()),12,31)))))))))</x:f>
      </x:c>
      <x:c r="I132" t="str">
        <x:f>IF(A132="","",'Benefits Master'!H132)</x:f>
      </x:c>
      <x:c r="J132" t="str">
        <x:f>IF(A132="","",SUMIFS('Benefit Usage Log'!$H:$H,'Benefit Usage Log'!$E:$E,A132,'Benefit Usage Log'!$G:$G,G132))</x:f>
      </x:c>
      <x:c r="K132" t="str">
        <x:f>IF(A132="","",MAX(0,I132-J132))</x:f>
      </x:c>
      <x:c r="L132" t="str">
        <x:f>IF(A132="","",IF(I132=0,0,MIN(1,J132/I132)))</x:f>
      </x:c>
      <x:c r="M132" t="str">
        <x:f>IF(A132="","",IF(ISNUMBER(H132)=FALSE,"Review Terms",IF(J132&gt;=I132,"Used",IF(AND(J132&gt;0,J132&lt;I132,H132&lt;TODAY()),"Missed",IF(AND(J132=0,H132&lt;TODAY()),"Missed",IF(AND(I132-J132&gt;0,H132-TODAY()&lt;='Benefits Master'!N132),"Expiring Soon",IF(J132&gt;0,"Partially Used","Not Used")))))))</x:f>
      </x:c>
      <x:c r="N132" t="str">
        <x:f>IF(A132="","",IF(ISNUMBER(H132),H132-TODAY(),""))</x:f>
      </x:c>
      <x:c r="O132" t="str">
        <x:f>IF(A132="","",'Benefits Master'!P132)</x:f>
      </x:c>
      <x:c r="P132" t="str">
        <x:f>IF(A132="","",'Benefits Master'!Q132)</x:f>
      </x:c>
      <x:c r="Q132" t="str">
        <x:f>IF(A132="","",'Benefits Master'!S132)</x:f>
      </x:c>
    </x:row>
    <x:row r="133">
      <x:c r="A133" t="str">
        <x:f>IF('Benefits Master'!A133="","",'Benefits Master'!A133)</x:f>
      </x:c>
      <x:c r="B133" t="str">
        <x:f>IF(A133="","",'Benefits Master'!B133)</x:f>
      </x:c>
      <x:c r="C133" t="str">
        <x:f>IF(A133="","",'Benefits Master'!D133)</x:f>
      </x:c>
      <x:c r="D133" t="str">
        <x:f>IF(A133="","",'Benefits Master'!E133)</x:f>
      </x:c>
      <x:c r="E133" t="str">
        <x:f>IF(A133="","",'Benefits Master'!J133)</x:f>
      </x:c>
      <x:c r="F133" t="str">
        <x:f>IF(A133="","",'Benefits Master'!K133)</x:f>
      </x:c>
      <x:c r="G133" t="str">
        <x:f>IF(A133="","",IF(F133="Jan-Jun",YEAR(TODAY())&amp;"-H1",IF(F133="Jul-Dec",YEAR(TODAY())&amp;"-H2",IF(E133="Monthly",TEXT(TODAY(),"yyyy-mm"),IF(E133="Quarterly",YEAR(TODAY())&amp;"-Q"&amp;ROUNDUP(MONTH(TODAY())/3,0),IF(E133="Semiannual",IF(MONTH(TODAY())&lt;=6,YEAR(TODAY())&amp;"-H1",YEAR(TODAY())&amp;"-H2"),IF(E133="Annual",YEAR(TODAY()),IF(E133="One-time","One-time","Custom"))))))))</x:f>
      </x:c>
      <x:c r="H133" t="str">
        <x:f>IF(A133="","",IF('Benefits Master'!M133&lt;&gt;"",'Benefits Master'!M133,IF('Benefits Master'!L133="End of Month",EOMONTH(TODAY(),0),IF('Benefits Master'!L133="End of Quarter",EOMONTH(DATE(YEAR(TODAY()),ROUNDUP(MONTH(TODAY())/3,0)*3,1),0),IF('Benefits Master'!L133="June 30",DATE(YEAR(TODAY()),6,30),IF('Benefits Master'!L133="Dec 31",DATE(YEAR(TODAY()),12,31),IF('Benefits Master'!L133="Card Anniversary","Enter open date",IF('Benefits Master'!L133="Specific Date","Set specific date",DATE(YEAR(TODAY()),12,31)))))))))</x:f>
      </x:c>
      <x:c r="I133" t="str">
        <x:f>IF(A133="","",'Benefits Master'!H133)</x:f>
      </x:c>
      <x:c r="J133" t="str">
        <x:f>IF(A133="","",SUMIFS('Benefit Usage Log'!$H:$H,'Benefit Usage Log'!$E:$E,A133,'Benefit Usage Log'!$G:$G,G133))</x:f>
      </x:c>
      <x:c r="K133" t="str">
        <x:f>IF(A133="","",MAX(0,I133-J133))</x:f>
      </x:c>
      <x:c r="L133" t="str">
        <x:f>IF(A133="","",IF(I133=0,0,MIN(1,J133/I133)))</x:f>
      </x:c>
      <x:c r="M133" t="str">
        <x:f>IF(A133="","",IF(ISNUMBER(H133)=FALSE,"Review Terms",IF(J133&gt;=I133,"Used",IF(AND(J133&gt;0,J133&lt;I133,H133&lt;TODAY()),"Missed",IF(AND(J133=0,H133&lt;TODAY()),"Missed",IF(AND(I133-J133&gt;0,H133-TODAY()&lt;='Benefits Master'!N133),"Expiring Soon",IF(J133&gt;0,"Partially Used","Not Used")))))))</x:f>
      </x:c>
      <x:c r="N133" t="str">
        <x:f>IF(A133="","",IF(ISNUMBER(H133),H133-TODAY(),""))</x:f>
      </x:c>
      <x:c r="O133" t="str">
        <x:f>IF(A133="","",'Benefits Master'!P133)</x:f>
      </x:c>
      <x:c r="P133" t="str">
        <x:f>IF(A133="","",'Benefits Master'!Q133)</x:f>
      </x:c>
      <x:c r="Q133" t="str">
        <x:f>IF(A133="","",'Benefits Master'!S133)</x:f>
      </x:c>
    </x:row>
    <x:row r="134">
      <x:c r="A134" t="str">
        <x:f>IF('Benefits Master'!A134="","",'Benefits Master'!A134)</x:f>
      </x:c>
      <x:c r="B134" t="str">
        <x:f>IF(A134="","",'Benefits Master'!B134)</x:f>
      </x:c>
      <x:c r="C134" t="str">
        <x:f>IF(A134="","",'Benefits Master'!D134)</x:f>
      </x:c>
      <x:c r="D134" t="str">
        <x:f>IF(A134="","",'Benefits Master'!E134)</x:f>
      </x:c>
      <x:c r="E134" t="str">
        <x:f>IF(A134="","",'Benefits Master'!J134)</x:f>
      </x:c>
      <x:c r="F134" t="str">
        <x:f>IF(A134="","",'Benefits Master'!K134)</x:f>
      </x:c>
      <x:c r="G134" t="str">
        <x:f>IF(A134="","",IF(F134="Jan-Jun",YEAR(TODAY())&amp;"-H1",IF(F134="Jul-Dec",YEAR(TODAY())&amp;"-H2",IF(E134="Monthly",TEXT(TODAY(),"yyyy-mm"),IF(E134="Quarterly",YEAR(TODAY())&amp;"-Q"&amp;ROUNDUP(MONTH(TODAY())/3,0),IF(E134="Semiannual",IF(MONTH(TODAY())&lt;=6,YEAR(TODAY())&amp;"-H1",YEAR(TODAY())&amp;"-H2"),IF(E134="Annual",YEAR(TODAY()),IF(E134="One-time","One-time","Custom"))))))))</x:f>
      </x:c>
      <x:c r="H134" t="str">
        <x:f>IF(A134="","",IF('Benefits Master'!M134&lt;&gt;"",'Benefits Master'!M134,IF('Benefits Master'!L134="End of Month",EOMONTH(TODAY(),0),IF('Benefits Master'!L134="End of Quarter",EOMONTH(DATE(YEAR(TODAY()),ROUNDUP(MONTH(TODAY())/3,0)*3,1),0),IF('Benefits Master'!L134="June 30",DATE(YEAR(TODAY()),6,30),IF('Benefits Master'!L134="Dec 31",DATE(YEAR(TODAY()),12,31),IF('Benefits Master'!L134="Card Anniversary","Enter open date",IF('Benefits Master'!L134="Specific Date","Set specific date",DATE(YEAR(TODAY()),12,31)))))))))</x:f>
      </x:c>
      <x:c r="I134" t="str">
        <x:f>IF(A134="","",'Benefits Master'!H134)</x:f>
      </x:c>
      <x:c r="J134" t="str">
        <x:f>IF(A134="","",SUMIFS('Benefit Usage Log'!$H:$H,'Benefit Usage Log'!$E:$E,A134,'Benefit Usage Log'!$G:$G,G134))</x:f>
      </x:c>
      <x:c r="K134" t="str">
        <x:f>IF(A134="","",MAX(0,I134-J134))</x:f>
      </x:c>
      <x:c r="L134" t="str">
        <x:f>IF(A134="","",IF(I134=0,0,MIN(1,J134/I134)))</x:f>
      </x:c>
      <x:c r="M134" t="str">
        <x:f>IF(A134="","",IF(ISNUMBER(H134)=FALSE,"Review Terms",IF(J134&gt;=I134,"Used",IF(AND(J134&gt;0,J134&lt;I134,H134&lt;TODAY()),"Missed",IF(AND(J134=0,H134&lt;TODAY()),"Missed",IF(AND(I134-J134&gt;0,H134-TODAY()&lt;='Benefits Master'!N134),"Expiring Soon",IF(J134&gt;0,"Partially Used","Not Used")))))))</x:f>
      </x:c>
      <x:c r="N134" t="str">
        <x:f>IF(A134="","",IF(ISNUMBER(H134),H134-TODAY(),""))</x:f>
      </x:c>
      <x:c r="O134" t="str">
        <x:f>IF(A134="","",'Benefits Master'!P134)</x:f>
      </x:c>
      <x:c r="P134" t="str">
        <x:f>IF(A134="","",'Benefits Master'!Q134)</x:f>
      </x:c>
      <x:c r="Q134" t="str">
        <x:f>IF(A134="","",'Benefits Master'!S134)</x:f>
      </x:c>
    </x:row>
    <x:row r="135">
      <x:c r="A135" t="str">
        <x:f>IF('Benefits Master'!A135="","",'Benefits Master'!A135)</x:f>
      </x:c>
      <x:c r="B135" t="str">
        <x:f>IF(A135="","",'Benefits Master'!B135)</x:f>
      </x:c>
      <x:c r="C135" t="str">
        <x:f>IF(A135="","",'Benefits Master'!D135)</x:f>
      </x:c>
      <x:c r="D135" t="str">
        <x:f>IF(A135="","",'Benefits Master'!E135)</x:f>
      </x:c>
      <x:c r="E135" t="str">
        <x:f>IF(A135="","",'Benefits Master'!J135)</x:f>
      </x:c>
      <x:c r="F135" t="str">
        <x:f>IF(A135="","",'Benefits Master'!K135)</x:f>
      </x:c>
      <x:c r="G135" t="str">
        <x:f>IF(A135="","",IF(F135="Jan-Jun",YEAR(TODAY())&amp;"-H1",IF(F135="Jul-Dec",YEAR(TODAY())&amp;"-H2",IF(E135="Monthly",TEXT(TODAY(),"yyyy-mm"),IF(E135="Quarterly",YEAR(TODAY())&amp;"-Q"&amp;ROUNDUP(MONTH(TODAY())/3,0),IF(E135="Semiannual",IF(MONTH(TODAY())&lt;=6,YEAR(TODAY())&amp;"-H1",YEAR(TODAY())&amp;"-H2"),IF(E135="Annual",YEAR(TODAY()),IF(E135="One-time","One-time","Custom"))))))))</x:f>
      </x:c>
      <x:c r="H135" t="str">
        <x:f>IF(A135="","",IF('Benefits Master'!M135&lt;&gt;"",'Benefits Master'!M135,IF('Benefits Master'!L135="End of Month",EOMONTH(TODAY(),0),IF('Benefits Master'!L135="End of Quarter",EOMONTH(DATE(YEAR(TODAY()),ROUNDUP(MONTH(TODAY())/3,0)*3,1),0),IF('Benefits Master'!L135="June 30",DATE(YEAR(TODAY()),6,30),IF('Benefits Master'!L135="Dec 31",DATE(YEAR(TODAY()),12,31),IF('Benefits Master'!L135="Card Anniversary","Enter open date",IF('Benefits Master'!L135="Specific Date","Set specific date",DATE(YEAR(TODAY()),12,31)))))))))</x:f>
      </x:c>
      <x:c r="I135" t="str">
        <x:f>IF(A135="","",'Benefits Master'!H135)</x:f>
      </x:c>
      <x:c r="J135" t="str">
        <x:f>IF(A135="","",SUMIFS('Benefit Usage Log'!$H:$H,'Benefit Usage Log'!$E:$E,A135,'Benefit Usage Log'!$G:$G,G135))</x:f>
      </x:c>
      <x:c r="K135" t="str">
        <x:f>IF(A135="","",MAX(0,I135-J135))</x:f>
      </x:c>
      <x:c r="L135" t="str">
        <x:f>IF(A135="","",IF(I135=0,0,MIN(1,J135/I135)))</x:f>
      </x:c>
      <x:c r="M135" t="str">
        <x:f>IF(A135="","",IF(ISNUMBER(H135)=FALSE,"Review Terms",IF(J135&gt;=I135,"Used",IF(AND(J135&gt;0,J135&lt;I135,H135&lt;TODAY()),"Missed",IF(AND(J135=0,H135&lt;TODAY()),"Missed",IF(AND(I135-J135&gt;0,H135-TODAY()&lt;='Benefits Master'!N135),"Expiring Soon",IF(J135&gt;0,"Partially Used","Not Used")))))))</x:f>
      </x:c>
      <x:c r="N135" t="str">
        <x:f>IF(A135="","",IF(ISNUMBER(H135),H135-TODAY(),""))</x:f>
      </x:c>
      <x:c r="O135" t="str">
        <x:f>IF(A135="","",'Benefits Master'!P135)</x:f>
      </x:c>
      <x:c r="P135" t="str">
        <x:f>IF(A135="","",'Benefits Master'!Q135)</x:f>
      </x:c>
      <x:c r="Q135" t="str">
        <x:f>IF(A135="","",'Benefits Master'!S135)</x:f>
      </x:c>
    </x:row>
    <x:row r="136">
      <x:c r="A136" t="str">
        <x:f>IF('Benefits Master'!A136="","",'Benefits Master'!A136)</x:f>
      </x:c>
      <x:c r="B136" t="str">
        <x:f>IF(A136="","",'Benefits Master'!B136)</x:f>
      </x:c>
      <x:c r="C136" t="str">
        <x:f>IF(A136="","",'Benefits Master'!D136)</x:f>
      </x:c>
      <x:c r="D136" t="str">
        <x:f>IF(A136="","",'Benefits Master'!E136)</x:f>
      </x:c>
      <x:c r="E136" t="str">
        <x:f>IF(A136="","",'Benefits Master'!J136)</x:f>
      </x:c>
      <x:c r="F136" t="str">
        <x:f>IF(A136="","",'Benefits Master'!K136)</x:f>
      </x:c>
      <x:c r="G136" t="str">
        <x:f>IF(A136="","",IF(F136="Jan-Jun",YEAR(TODAY())&amp;"-H1",IF(F136="Jul-Dec",YEAR(TODAY())&amp;"-H2",IF(E136="Monthly",TEXT(TODAY(),"yyyy-mm"),IF(E136="Quarterly",YEAR(TODAY())&amp;"-Q"&amp;ROUNDUP(MONTH(TODAY())/3,0),IF(E136="Semiannual",IF(MONTH(TODAY())&lt;=6,YEAR(TODAY())&amp;"-H1",YEAR(TODAY())&amp;"-H2"),IF(E136="Annual",YEAR(TODAY()),IF(E136="One-time","One-time","Custom"))))))))</x:f>
      </x:c>
      <x:c r="H136" t="str">
        <x:f>IF(A136="","",IF('Benefits Master'!M136&lt;&gt;"",'Benefits Master'!M136,IF('Benefits Master'!L136="End of Month",EOMONTH(TODAY(),0),IF('Benefits Master'!L136="End of Quarter",EOMONTH(DATE(YEAR(TODAY()),ROUNDUP(MONTH(TODAY())/3,0)*3,1),0),IF('Benefits Master'!L136="June 30",DATE(YEAR(TODAY()),6,30),IF('Benefits Master'!L136="Dec 31",DATE(YEAR(TODAY()),12,31),IF('Benefits Master'!L136="Card Anniversary","Enter open date",IF('Benefits Master'!L136="Specific Date","Set specific date",DATE(YEAR(TODAY()),12,31)))))))))</x:f>
      </x:c>
      <x:c r="I136" t="str">
        <x:f>IF(A136="","",'Benefits Master'!H136)</x:f>
      </x:c>
      <x:c r="J136" t="str">
        <x:f>IF(A136="","",SUMIFS('Benefit Usage Log'!$H:$H,'Benefit Usage Log'!$E:$E,A136,'Benefit Usage Log'!$G:$G,G136))</x:f>
      </x:c>
      <x:c r="K136" t="str">
        <x:f>IF(A136="","",MAX(0,I136-J136))</x:f>
      </x:c>
      <x:c r="L136" t="str">
        <x:f>IF(A136="","",IF(I136=0,0,MIN(1,J136/I136)))</x:f>
      </x:c>
      <x:c r="M136" t="str">
        <x:f>IF(A136="","",IF(ISNUMBER(H136)=FALSE,"Review Terms",IF(J136&gt;=I136,"Used",IF(AND(J136&gt;0,J136&lt;I136,H136&lt;TODAY()),"Missed",IF(AND(J136=0,H136&lt;TODAY()),"Missed",IF(AND(I136-J136&gt;0,H136-TODAY()&lt;='Benefits Master'!N136),"Expiring Soon",IF(J136&gt;0,"Partially Used","Not Used")))))))</x:f>
      </x:c>
      <x:c r="N136" t="str">
        <x:f>IF(A136="","",IF(ISNUMBER(H136),H136-TODAY(),""))</x:f>
      </x:c>
      <x:c r="O136" t="str">
        <x:f>IF(A136="","",'Benefits Master'!P136)</x:f>
      </x:c>
      <x:c r="P136" t="str">
        <x:f>IF(A136="","",'Benefits Master'!Q136)</x:f>
      </x:c>
      <x:c r="Q136" t="str">
        <x:f>IF(A136="","",'Benefits Master'!S136)</x:f>
      </x:c>
    </x:row>
    <x:row r="137">
      <x:c r="A137" t="str">
        <x:f>IF('Benefits Master'!A137="","",'Benefits Master'!A137)</x:f>
      </x:c>
      <x:c r="B137" t="str">
        <x:f>IF(A137="","",'Benefits Master'!B137)</x:f>
      </x:c>
      <x:c r="C137" t="str">
        <x:f>IF(A137="","",'Benefits Master'!D137)</x:f>
      </x:c>
      <x:c r="D137" t="str">
        <x:f>IF(A137="","",'Benefits Master'!E137)</x:f>
      </x:c>
      <x:c r="E137" t="str">
        <x:f>IF(A137="","",'Benefits Master'!J137)</x:f>
      </x:c>
      <x:c r="F137" t="str">
        <x:f>IF(A137="","",'Benefits Master'!K137)</x:f>
      </x:c>
      <x:c r="G137" t="str">
        <x:f>IF(A137="","",IF(F137="Jan-Jun",YEAR(TODAY())&amp;"-H1",IF(F137="Jul-Dec",YEAR(TODAY())&amp;"-H2",IF(E137="Monthly",TEXT(TODAY(),"yyyy-mm"),IF(E137="Quarterly",YEAR(TODAY())&amp;"-Q"&amp;ROUNDUP(MONTH(TODAY())/3,0),IF(E137="Semiannual",IF(MONTH(TODAY())&lt;=6,YEAR(TODAY())&amp;"-H1",YEAR(TODAY())&amp;"-H2"),IF(E137="Annual",YEAR(TODAY()),IF(E137="One-time","One-time","Custom"))))))))</x:f>
      </x:c>
      <x:c r="H137" t="str">
        <x:f>IF(A137="","",IF('Benefits Master'!M137&lt;&gt;"",'Benefits Master'!M137,IF('Benefits Master'!L137="End of Month",EOMONTH(TODAY(),0),IF('Benefits Master'!L137="End of Quarter",EOMONTH(DATE(YEAR(TODAY()),ROUNDUP(MONTH(TODAY())/3,0)*3,1),0),IF('Benefits Master'!L137="June 30",DATE(YEAR(TODAY()),6,30),IF('Benefits Master'!L137="Dec 31",DATE(YEAR(TODAY()),12,31),IF('Benefits Master'!L137="Card Anniversary","Enter open date",IF('Benefits Master'!L137="Specific Date","Set specific date",DATE(YEAR(TODAY()),12,31)))))))))</x:f>
      </x:c>
      <x:c r="I137" t="str">
        <x:f>IF(A137="","",'Benefits Master'!H137)</x:f>
      </x:c>
      <x:c r="J137" t="str">
        <x:f>IF(A137="","",SUMIFS('Benefit Usage Log'!$H:$H,'Benefit Usage Log'!$E:$E,A137,'Benefit Usage Log'!$G:$G,G137))</x:f>
      </x:c>
      <x:c r="K137" t="str">
        <x:f>IF(A137="","",MAX(0,I137-J137))</x:f>
      </x:c>
      <x:c r="L137" t="str">
        <x:f>IF(A137="","",IF(I137=0,0,MIN(1,J137/I137)))</x:f>
      </x:c>
      <x:c r="M137" t="str">
        <x:f>IF(A137="","",IF(ISNUMBER(H137)=FALSE,"Review Terms",IF(J137&gt;=I137,"Used",IF(AND(J137&gt;0,J137&lt;I137,H137&lt;TODAY()),"Missed",IF(AND(J137=0,H137&lt;TODAY()),"Missed",IF(AND(I137-J137&gt;0,H137-TODAY()&lt;='Benefits Master'!N137),"Expiring Soon",IF(J137&gt;0,"Partially Used","Not Used")))))))</x:f>
      </x:c>
      <x:c r="N137" t="str">
        <x:f>IF(A137="","",IF(ISNUMBER(H137),H137-TODAY(),""))</x:f>
      </x:c>
      <x:c r="O137" t="str">
        <x:f>IF(A137="","",'Benefits Master'!P137)</x:f>
      </x:c>
      <x:c r="P137" t="str">
        <x:f>IF(A137="","",'Benefits Master'!Q137)</x:f>
      </x:c>
      <x:c r="Q137" t="str">
        <x:f>IF(A137="","",'Benefits Master'!S137)</x:f>
      </x:c>
    </x:row>
    <x:row r="138">
      <x:c r="A138" t="str">
        <x:f>IF('Benefits Master'!A138="","",'Benefits Master'!A138)</x:f>
      </x:c>
      <x:c r="B138" t="str">
        <x:f>IF(A138="","",'Benefits Master'!B138)</x:f>
      </x:c>
      <x:c r="C138" t="str">
        <x:f>IF(A138="","",'Benefits Master'!D138)</x:f>
      </x:c>
      <x:c r="D138" t="str">
        <x:f>IF(A138="","",'Benefits Master'!E138)</x:f>
      </x:c>
      <x:c r="E138" t="str">
        <x:f>IF(A138="","",'Benefits Master'!J138)</x:f>
      </x:c>
      <x:c r="F138" t="str">
        <x:f>IF(A138="","",'Benefits Master'!K138)</x:f>
      </x:c>
      <x:c r="G138" t="str">
        <x:f>IF(A138="","",IF(F138="Jan-Jun",YEAR(TODAY())&amp;"-H1",IF(F138="Jul-Dec",YEAR(TODAY())&amp;"-H2",IF(E138="Monthly",TEXT(TODAY(),"yyyy-mm"),IF(E138="Quarterly",YEAR(TODAY())&amp;"-Q"&amp;ROUNDUP(MONTH(TODAY())/3,0),IF(E138="Semiannual",IF(MONTH(TODAY())&lt;=6,YEAR(TODAY())&amp;"-H1",YEAR(TODAY())&amp;"-H2"),IF(E138="Annual",YEAR(TODAY()),IF(E138="One-time","One-time","Custom"))))))))</x:f>
      </x:c>
      <x:c r="H138" t="str">
        <x:f>IF(A138="","",IF('Benefits Master'!M138&lt;&gt;"",'Benefits Master'!M138,IF('Benefits Master'!L138="End of Month",EOMONTH(TODAY(),0),IF('Benefits Master'!L138="End of Quarter",EOMONTH(DATE(YEAR(TODAY()),ROUNDUP(MONTH(TODAY())/3,0)*3,1),0),IF('Benefits Master'!L138="June 30",DATE(YEAR(TODAY()),6,30),IF('Benefits Master'!L138="Dec 31",DATE(YEAR(TODAY()),12,31),IF('Benefits Master'!L138="Card Anniversary","Enter open date",IF('Benefits Master'!L138="Specific Date","Set specific date",DATE(YEAR(TODAY()),12,31)))))))))</x:f>
      </x:c>
      <x:c r="I138" t="str">
        <x:f>IF(A138="","",'Benefits Master'!H138)</x:f>
      </x:c>
      <x:c r="J138" t="str">
        <x:f>IF(A138="","",SUMIFS('Benefit Usage Log'!$H:$H,'Benefit Usage Log'!$E:$E,A138,'Benefit Usage Log'!$G:$G,G138))</x:f>
      </x:c>
      <x:c r="K138" t="str">
        <x:f>IF(A138="","",MAX(0,I138-J138))</x:f>
      </x:c>
      <x:c r="L138" t="str">
        <x:f>IF(A138="","",IF(I138=0,0,MIN(1,J138/I138)))</x:f>
      </x:c>
      <x:c r="M138" t="str">
        <x:f>IF(A138="","",IF(ISNUMBER(H138)=FALSE,"Review Terms",IF(J138&gt;=I138,"Used",IF(AND(J138&gt;0,J138&lt;I138,H138&lt;TODAY()),"Missed",IF(AND(J138=0,H138&lt;TODAY()),"Missed",IF(AND(I138-J138&gt;0,H138-TODAY()&lt;='Benefits Master'!N138),"Expiring Soon",IF(J138&gt;0,"Partially Used","Not Used")))))))</x:f>
      </x:c>
      <x:c r="N138" t="str">
        <x:f>IF(A138="","",IF(ISNUMBER(H138),H138-TODAY(),""))</x:f>
      </x:c>
      <x:c r="O138" t="str">
        <x:f>IF(A138="","",'Benefits Master'!P138)</x:f>
      </x:c>
      <x:c r="P138" t="str">
        <x:f>IF(A138="","",'Benefits Master'!Q138)</x:f>
      </x:c>
      <x:c r="Q138" t="str">
        <x:f>IF(A138="","",'Benefits Master'!S138)</x:f>
      </x:c>
    </x:row>
    <x:row r="139">
      <x:c r="A139" t="str">
        <x:f>IF('Benefits Master'!A139="","",'Benefits Master'!A139)</x:f>
      </x:c>
      <x:c r="B139" t="str">
        <x:f>IF(A139="","",'Benefits Master'!B139)</x:f>
      </x:c>
      <x:c r="C139" t="str">
        <x:f>IF(A139="","",'Benefits Master'!D139)</x:f>
      </x:c>
      <x:c r="D139" t="str">
        <x:f>IF(A139="","",'Benefits Master'!E139)</x:f>
      </x:c>
      <x:c r="E139" t="str">
        <x:f>IF(A139="","",'Benefits Master'!J139)</x:f>
      </x:c>
      <x:c r="F139" t="str">
        <x:f>IF(A139="","",'Benefits Master'!K139)</x:f>
      </x:c>
      <x:c r="G139" t="str">
        <x:f>IF(A139="","",IF(F139="Jan-Jun",YEAR(TODAY())&amp;"-H1",IF(F139="Jul-Dec",YEAR(TODAY())&amp;"-H2",IF(E139="Monthly",TEXT(TODAY(),"yyyy-mm"),IF(E139="Quarterly",YEAR(TODAY())&amp;"-Q"&amp;ROUNDUP(MONTH(TODAY())/3,0),IF(E139="Semiannual",IF(MONTH(TODAY())&lt;=6,YEAR(TODAY())&amp;"-H1",YEAR(TODAY())&amp;"-H2"),IF(E139="Annual",YEAR(TODAY()),IF(E139="One-time","One-time","Custom"))))))))</x:f>
      </x:c>
      <x:c r="H139" t="str">
        <x:f>IF(A139="","",IF('Benefits Master'!M139&lt;&gt;"",'Benefits Master'!M139,IF('Benefits Master'!L139="End of Month",EOMONTH(TODAY(),0),IF('Benefits Master'!L139="End of Quarter",EOMONTH(DATE(YEAR(TODAY()),ROUNDUP(MONTH(TODAY())/3,0)*3,1),0),IF('Benefits Master'!L139="June 30",DATE(YEAR(TODAY()),6,30),IF('Benefits Master'!L139="Dec 31",DATE(YEAR(TODAY()),12,31),IF('Benefits Master'!L139="Card Anniversary","Enter open date",IF('Benefits Master'!L139="Specific Date","Set specific date",DATE(YEAR(TODAY()),12,31)))))))))</x:f>
      </x:c>
      <x:c r="I139" t="str">
        <x:f>IF(A139="","",'Benefits Master'!H139)</x:f>
      </x:c>
      <x:c r="J139" t="str">
        <x:f>IF(A139="","",SUMIFS('Benefit Usage Log'!$H:$H,'Benefit Usage Log'!$E:$E,A139,'Benefit Usage Log'!$G:$G,G139))</x:f>
      </x:c>
      <x:c r="K139" t="str">
        <x:f>IF(A139="","",MAX(0,I139-J139))</x:f>
      </x:c>
      <x:c r="L139" t="str">
        <x:f>IF(A139="","",IF(I139=0,0,MIN(1,J139/I139)))</x:f>
      </x:c>
      <x:c r="M139" t="str">
        <x:f>IF(A139="","",IF(ISNUMBER(H139)=FALSE,"Review Terms",IF(J139&gt;=I139,"Used",IF(AND(J139&gt;0,J139&lt;I139,H139&lt;TODAY()),"Missed",IF(AND(J139=0,H139&lt;TODAY()),"Missed",IF(AND(I139-J139&gt;0,H139-TODAY()&lt;='Benefits Master'!N139),"Expiring Soon",IF(J139&gt;0,"Partially Used","Not Used")))))))</x:f>
      </x:c>
      <x:c r="N139" t="str">
        <x:f>IF(A139="","",IF(ISNUMBER(H139),H139-TODAY(),""))</x:f>
      </x:c>
      <x:c r="O139" t="str">
        <x:f>IF(A139="","",'Benefits Master'!P139)</x:f>
      </x:c>
      <x:c r="P139" t="str">
        <x:f>IF(A139="","",'Benefits Master'!Q139)</x:f>
      </x:c>
      <x:c r="Q139" t="str">
        <x:f>IF(A139="","",'Benefits Master'!S139)</x:f>
      </x:c>
    </x:row>
    <x:row r="140">
      <x:c r="A140" t="str">
        <x:f>IF('Benefits Master'!A140="","",'Benefits Master'!A140)</x:f>
      </x:c>
      <x:c r="B140" t="str">
        <x:f>IF(A140="","",'Benefits Master'!B140)</x:f>
      </x:c>
      <x:c r="C140" t="str">
        <x:f>IF(A140="","",'Benefits Master'!D140)</x:f>
      </x:c>
      <x:c r="D140" t="str">
        <x:f>IF(A140="","",'Benefits Master'!E140)</x:f>
      </x:c>
      <x:c r="E140" t="str">
        <x:f>IF(A140="","",'Benefits Master'!J140)</x:f>
      </x:c>
      <x:c r="F140" t="str">
        <x:f>IF(A140="","",'Benefits Master'!K140)</x:f>
      </x:c>
      <x:c r="G140" t="str">
        <x:f>IF(A140="","",IF(F140="Jan-Jun",YEAR(TODAY())&amp;"-H1",IF(F140="Jul-Dec",YEAR(TODAY())&amp;"-H2",IF(E140="Monthly",TEXT(TODAY(),"yyyy-mm"),IF(E140="Quarterly",YEAR(TODAY())&amp;"-Q"&amp;ROUNDUP(MONTH(TODAY())/3,0),IF(E140="Semiannual",IF(MONTH(TODAY())&lt;=6,YEAR(TODAY())&amp;"-H1",YEAR(TODAY())&amp;"-H2"),IF(E140="Annual",YEAR(TODAY()),IF(E140="One-time","One-time","Custom"))))))))</x:f>
      </x:c>
      <x:c r="H140" t="str">
        <x:f>IF(A140="","",IF('Benefits Master'!M140&lt;&gt;"",'Benefits Master'!M140,IF('Benefits Master'!L140="End of Month",EOMONTH(TODAY(),0),IF('Benefits Master'!L140="End of Quarter",EOMONTH(DATE(YEAR(TODAY()),ROUNDUP(MONTH(TODAY())/3,0)*3,1),0),IF('Benefits Master'!L140="June 30",DATE(YEAR(TODAY()),6,30),IF('Benefits Master'!L140="Dec 31",DATE(YEAR(TODAY()),12,31),IF('Benefits Master'!L140="Card Anniversary","Enter open date",IF('Benefits Master'!L140="Specific Date","Set specific date",DATE(YEAR(TODAY()),12,31)))))))))</x:f>
      </x:c>
      <x:c r="I140" t="str">
        <x:f>IF(A140="","",'Benefits Master'!H140)</x:f>
      </x:c>
      <x:c r="J140" t="str">
        <x:f>IF(A140="","",SUMIFS('Benefit Usage Log'!$H:$H,'Benefit Usage Log'!$E:$E,A140,'Benefit Usage Log'!$G:$G,G140))</x:f>
      </x:c>
      <x:c r="K140" t="str">
        <x:f>IF(A140="","",MAX(0,I140-J140))</x:f>
      </x:c>
      <x:c r="L140" t="str">
        <x:f>IF(A140="","",IF(I140=0,0,MIN(1,J140/I140)))</x:f>
      </x:c>
      <x:c r="M140" t="str">
        <x:f>IF(A140="","",IF(ISNUMBER(H140)=FALSE,"Review Terms",IF(J140&gt;=I140,"Used",IF(AND(J140&gt;0,J140&lt;I140,H140&lt;TODAY()),"Missed",IF(AND(J140=0,H140&lt;TODAY()),"Missed",IF(AND(I140-J140&gt;0,H140-TODAY()&lt;='Benefits Master'!N140),"Expiring Soon",IF(J140&gt;0,"Partially Used","Not Used")))))))</x:f>
      </x:c>
      <x:c r="N140" t="str">
        <x:f>IF(A140="","",IF(ISNUMBER(H140),H140-TODAY(),""))</x:f>
      </x:c>
      <x:c r="O140" t="str">
        <x:f>IF(A140="","",'Benefits Master'!P140)</x:f>
      </x:c>
      <x:c r="P140" t="str">
        <x:f>IF(A140="","",'Benefits Master'!Q140)</x:f>
      </x:c>
      <x:c r="Q140" t="str">
        <x:f>IF(A140="","",'Benefits Master'!S140)</x:f>
      </x:c>
    </x:row>
    <x:row r="141">
      <x:c r="A141" t="str">
        <x:f>IF('Benefits Master'!A141="","",'Benefits Master'!A141)</x:f>
      </x:c>
      <x:c r="B141" t="str">
        <x:f>IF(A141="","",'Benefits Master'!B141)</x:f>
      </x:c>
      <x:c r="C141" t="str">
        <x:f>IF(A141="","",'Benefits Master'!D141)</x:f>
      </x:c>
      <x:c r="D141" t="str">
        <x:f>IF(A141="","",'Benefits Master'!E141)</x:f>
      </x:c>
      <x:c r="E141" t="str">
        <x:f>IF(A141="","",'Benefits Master'!J141)</x:f>
      </x:c>
      <x:c r="F141" t="str">
        <x:f>IF(A141="","",'Benefits Master'!K141)</x:f>
      </x:c>
      <x:c r="G141" t="str">
        <x:f>IF(A141="","",IF(F141="Jan-Jun",YEAR(TODAY())&amp;"-H1",IF(F141="Jul-Dec",YEAR(TODAY())&amp;"-H2",IF(E141="Monthly",TEXT(TODAY(),"yyyy-mm"),IF(E141="Quarterly",YEAR(TODAY())&amp;"-Q"&amp;ROUNDUP(MONTH(TODAY())/3,0),IF(E141="Semiannual",IF(MONTH(TODAY())&lt;=6,YEAR(TODAY())&amp;"-H1",YEAR(TODAY())&amp;"-H2"),IF(E141="Annual",YEAR(TODAY()),IF(E141="One-time","One-time","Custom"))))))))</x:f>
      </x:c>
      <x:c r="H141" t="str">
        <x:f>IF(A141="","",IF('Benefits Master'!M141&lt;&gt;"",'Benefits Master'!M141,IF('Benefits Master'!L141="End of Month",EOMONTH(TODAY(),0),IF('Benefits Master'!L141="End of Quarter",EOMONTH(DATE(YEAR(TODAY()),ROUNDUP(MONTH(TODAY())/3,0)*3,1),0),IF('Benefits Master'!L141="June 30",DATE(YEAR(TODAY()),6,30),IF('Benefits Master'!L141="Dec 31",DATE(YEAR(TODAY()),12,31),IF('Benefits Master'!L141="Card Anniversary","Enter open date",IF('Benefits Master'!L141="Specific Date","Set specific date",DATE(YEAR(TODAY()),12,31)))))))))</x:f>
      </x:c>
      <x:c r="I141" t="str">
        <x:f>IF(A141="","",'Benefits Master'!H141)</x:f>
      </x:c>
      <x:c r="J141" t="str">
        <x:f>IF(A141="","",SUMIFS('Benefit Usage Log'!$H:$H,'Benefit Usage Log'!$E:$E,A141,'Benefit Usage Log'!$G:$G,G141))</x:f>
      </x:c>
      <x:c r="K141" t="str">
        <x:f>IF(A141="","",MAX(0,I141-J141))</x:f>
      </x:c>
      <x:c r="L141" t="str">
        <x:f>IF(A141="","",IF(I141=0,0,MIN(1,J141/I141)))</x:f>
      </x:c>
      <x:c r="M141" t="str">
        <x:f>IF(A141="","",IF(ISNUMBER(H141)=FALSE,"Review Terms",IF(J141&gt;=I141,"Used",IF(AND(J141&gt;0,J141&lt;I141,H141&lt;TODAY()),"Missed",IF(AND(J141=0,H141&lt;TODAY()),"Missed",IF(AND(I141-J141&gt;0,H141-TODAY()&lt;='Benefits Master'!N141),"Expiring Soon",IF(J141&gt;0,"Partially Used","Not Used")))))))</x:f>
      </x:c>
      <x:c r="N141" t="str">
        <x:f>IF(A141="","",IF(ISNUMBER(H141),H141-TODAY(),""))</x:f>
      </x:c>
      <x:c r="O141" t="str">
        <x:f>IF(A141="","",'Benefits Master'!P141)</x:f>
      </x:c>
      <x:c r="P141" t="str">
        <x:f>IF(A141="","",'Benefits Master'!Q141)</x:f>
      </x:c>
      <x:c r="Q141" t="str">
        <x:f>IF(A141="","",'Benefits Master'!S141)</x:f>
      </x:c>
    </x:row>
    <x:row r="142">
      <x:c r="A142" t="str">
        <x:f>IF('Benefits Master'!A142="","",'Benefits Master'!A142)</x:f>
      </x:c>
      <x:c r="B142" t="str">
        <x:f>IF(A142="","",'Benefits Master'!B142)</x:f>
      </x:c>
      <x:c r="C142" t="str">
        <x:f>IF(A142="","",'Benefits Master'!D142)</x:f>
      </x:c>
      <x:c r="D142" t="str">
        <x:f>IF(A142="","",'Benefits Master'!E142)</x:f>
      </x:c>
      <x:c r="E142" t="str">
        <x:f>IF(A142="","",'Benefits Master'!J142)</x:f>
      </x:c>
      <x:c r="F142" t="str">
        <x:f>IF(A142="","",'Benefits Master'!K142)</x:f>
      </x:c>
      <x:c r="G142" t="str">
        <x:f>IF(A142="","",IF(F142="Jan-Jun",YEAR(TODAY())&amp;"-H1",IF(F142="Jul-Dec",YEAR(TODAY())&amp;"-H2",IF(E142="Monthly",TEXT(TODAY(),"yyyy-mm"),IF(E142="Quarterly",YEAR(TODAY())&amp;"-Q"&amp;ROUNDUP(MONTH(TODAY())/3,0),IF(E142="Semiannual",IF(MONTH(TODAY())&lt;=6,YEAR(TODAY())&amp;"-H1",YEAR(TODAY())&amp;"-H2"),IF(E142="Annual",YEAR(TODAY()),IF(E142="One-time","One-time","Custom"))))))))</x:f>
      </x:c>
      <x:c r="H142" t="str">
        <x:f>IF(A142="","",IF('Benefits Master'!M142&lt;&gt;"",'Benefits Master'!M142,IF('Benefits Master'!L142="End of Month",EOMONTH(TODAY(),0),IF('Benefits Master'!L142="End of Quarter",EOMONTH(DATE(YEAR(TODAY()),ROUNDUP(MONTH(TODAY())/3,0)*3,1),0),IF('Benefits Master'!L142="June 30",DATE(YEAR(TODAY()),6,30),IF('Benefits Master'!L142="Dec 31",DATE(YEAR(TODAY()),12,31),IF('Benefits Master'!L142="Card Anniversary","Enter open date",IF('Benefits Master'!L142="Specific Date","Set specific date",DATE(YEAR(TODAY()),12,31)))))))))</x:f>
      </x:c>
      <x:c r="I142" t="str">
        <x:f>IF(A142="","",'Benefits Master'!H142)</x:f>
      </x:c>
      <x:c r="J142" t="str">
        <x:f>IF(A142="","",SUMIFS('Benefit Usage Log'!$H:$H,'Benefit Usage Log'!$E:$E,A142,'Benefit Usage Log'!$G:$G,G142))</x:f>
      </x:c>
      <x:c r="K142" t="str">
        <x:f>IF(A142="","",MAX(0,I142-J142))</x:f>
      </x:c>
      <x:c r="L142" t="str">
        <x:f>IF(A142="","",IF(I142=0,0,MIN(1,J142/I142)))</x:f>
      </x:c>
      <x:c r="M142" t="str">
        <x:f>IF(A142="","",IF(ISNUMBER(H142)=FALSE,"Review Terms",IF(J142&gt;=I142,"Used",IF(AND(J142&gt;0,J142&lt;I142,H142&lt;TODAY()),"Missed",IF(AND(J142=0,H142&lt;TODAY()),"Missed",IF(AND(I142-J142&gt;0,H142-TODAY()&lt;='Benefits Master'!N142),"Expiring Soon",IF(J142&gt;0,"Partially Used","Not Used")))))))</x:f>
      </x:c>
      <x:c r="N142" t="str">
        <x:f>IF(A142="","",IF(ISNUMBER(H142),H142-TODAY(),""))</x:f>
      </x:c>
      <x:c r="O142" t="str">
        <x:f>IF(A142="","",'Benefits Master'!P142)</x:f>
      </x:c>
      <x:c r="P142" t="str">
        <x:f>IF(A142="","",'Benefits Master'!Q142)</x:f>
      </x:c>
      <x:c r="Q142" t="str">
        <x:f>IF(A142="","",'Benefits Master'!S142)</x:f>
      </x:c>
    </x:row>
    <x:row r="143">
      <x:c r="A143" t="str">
        <x:f>IF('Benefits Master'!A143="","",'Benefits Master'!A143)</x:f>
      </x:c>
      <x:c r="B143" t="str">
        <x:f>IF(A143="","",'Benefits Master'!B143)</x:f>
      </x:c>
      <x:c r="C143" t="str">
        <x:f>IF(A143="","",'Benefits Master'!D143)</x:f>
      </x:c>
      <x:c r="D143" t="str">
        <x:f>IF(A143="","",'Benefits Master'!E143)</x:f>
      </x:c>
      <x:c r="E143" t="str">
        <x:f>IF(A143="","",'Benefits Master'!J143)</x:f>
      </x:c>
      <x:c r="F143" t="str">
        <x:f>IF(A143="","",'Benefits Master'!K143)</x:f>
      </x:c>
      <x:c r="G143" t="str">
        <x:f>IF(A143="","",IF(F143="Jan-Jun",YEAR(TODAY())&amp;"-H1",IF(F143="Jul-Dec",YEAR(TODAY())&amp;"-H2",IF(E143="Monthly",TEXT(TODAY(),"yyyy-mm"),IF(E143="Quarterly",YEAR(TODAY())&amp;"-Q"&amp;ROUNDUP(MONTH(TODAY())/3,0),IF(E143="Semiannual",IF(MONTH(TODAY())&lt;=6,YEAR(TODAY())&amp;"-H1",YEAR(TODAY())&amp;"-H2"),IF(E143="Annual",YEAR(TODAY()),IF(E143="One-time","One-time","Custom"))))))))</x:f>
      </x:c>
      <x:c r="H143" t="str">
        <x:f>IF(A143="","",IF('Benefits Master'!M143&lt;&gt;"",'Benefits Master'!M143,IF('Benefits Master'!L143="End of Month",EOMONTH(TODAY(),0),IF('Benefits Master'!L143="End of Quarter",EOMONTH(DATE(YEAR(TODAY()),ROUNDUP(MONTH(TODAY())/3,0)*3,1),0),IF('Benefits Master'!L143="June 30",DATE(YEAR(TODAY()),6,30),IF('Benefits Master'!L143="Dec 31",DATE(YEAR(TODAY()),12,31),IF('Benefits Master'!L143="Card Anniversary","Enter open date",IF('Benefits Master'!L143="Specific Date","Set specific date",DATE(YEAR(TODAY()),12,31)))))))))</x:f>
      </x:c>
      <x:c r="I143" t="str">
        <x:f>IF(A143="","",'Benefits Master'!H143)</x:f>
      </x:c>
      <x:c r="J143" t="str">
        <x:f>IF(A143="","",SUMIFS('Benefit Usage Log'!$H:$H,'Benefit Usage Log'!$E:$E,A143,'Benefit Usage Log'!$G:$G,G143))</x:f>
      </x:c>
      <x:c r="K143" t="str">
        <x:f>IF(A143="","",MAX(0,I143-J143))</x:f>
      </x:c>
      <x:c r="L143" t="str">
        <x:f>IF(A143="","",IF(I143=0,0,MIN(1,J143/I143)))</x:f>
      </x:c>
      <x:c r="M143" t="str">
        <x:f>IF(A143="","",IF(ISNUMBER(H143)=FALSE,"Review Terms",IF(J143&gt;=I143,"Used",IF(AND(J143&gt;0,J143&lt;I143,H143&lt;TODAY()),"Missed",IF(AND(J143=0,H143&lt;TODAY()),"Missed",IF(AND(I143-J143&gt;0,H143-TODAY()&lt;='Benefits Master'!N143),"Expiring Soon",IF(J143&gt;0,"Partially Used","Not Used")))))))</x:f>
      </x:c>
      <x:c r="N143" t="str">
        <x:f>IF(A143="","",IF(ISNUMBER(H143),H143-TODAY(),""))</x:f>
      </x:c>
      <x:c r="O143" t="str">
        <x:f>IF(A143="","",'Benefits Master'!P143)</x:f>
      </x:c>
      <x:c r="P143" t="str">
        <x:f>IF(A143="","",'Benefits Master'!Q143)</x:f>
      </x:c>
      <x:c r="Q143" t="str">
        <x:f>IF(A143="","",'Benefits Master'!S143)</x:f>
      </x:c>
    </x:row>
    <x:row r="144">
      <x:c r="A144" t="str">
        <x:f>IF('Benefits Master'!A144="","",'Benefits Master'!A144)</x:f>
      </x:c>
      <x:c r="B144" t="str">
        <x:f>IF(A144="","",'Benefits Master'!B144)</x:f>
      </x:c>
      <x:c r="C144" t="str">
        <x:f>IF(A144="","",'Benefits Master'!D144)</x:f>
      </x:c>
      <x:c r="D144" t="str">
        <x:f>IF(A144="","",'Benefits Master'!E144)</x:f>
      </x:c>
      <x:c r="E144" t="str">
        <x:f>IF(A144="","",'Benefits Master'!J144)</x:f>
      </x:c>
      <x:c r="F144" t="str">
        <x:f>IF(A144="","",'Benefits Master'!K144)</x:f>
      </x:c>
      <x:c r="G144" t="str">
        <x:f>IF(A144="","",IF(F144="Jan-Jun",YEAR(TODAY())&amp;"-H1",IF(F144="Jul-Dec",YEAR(TODAY())&amp;"-H2",IF(E144="Monthly",TEXT(TODAY(),"yyyy-mm"),IF(E144="Quarterly",YEAR(TODAY())&amp;"-Q"&amp;ROUNDUP(MONTH(TODAY())/3,0),IF(E144="Semiannual",IF(MONTH(TODAY())&lt;=6,YEAR(TODAY())&amp;"-H1",YEAR(TODAY())&amp;"-H2"),IF(E144="Annual",YEAR(TODAY()),IF(E144="One-time","One-time","Custom"))))))))</x:f>
      </x:c>
      <x:c r="H144" t="str">
        <x:f>IF(A144="","",IF('Benefits Master'!M144&lt;&gt;"",'Benefits Master'!M144,IF('Benefits Master'!L144="End of Month",EOMONTH(TODAY(),0),IF('Benefits Master'!L144="End of Quarter",EOMONTH(DATE(YEAR(TODAY()),ROUNDUP(MONTH(TODAY())/3,0)*3,1),0),IF('Benefits Master'!L144="June 30",DATE(YEAR(TODAY()),6,30),IF('Benefits Master'!L144="Dec 31",DATE(YEAR(TODAY()),12,31),IF('Benefits Master'!L144="Card Anniversary","Enter open date",IF('Benefits Master'!L144="Specific Date","Set specific date",DATE(YEAR(TODAY()),12,31)))))))))</x:f>
      </x:c>
      <x:c r="I144" t="str">
        <x:f>IF(A144="","",'Benefits Master'!H144)</x:f>
      </x:c>
      <x:c r="J144" t="str">
        <x:f>IF(A144="","",SUMIFS('Benefit Usage Log'!$H:$H,'Benefit Usage Log'!$E:$E,A144,'Benefit Usage Log'!$G:$G,G144))</x:f>
      </x:c>
      <x:c r="K144" t="str">
        <x:f>IF(A144="","",MAX(0,I144-J144))</x:f>
      </x:c>
      <x:c r="L144" t="str">
        <x:f>IF(A144="","",IF(I144=0,0,MIN(1,J144/I144)))</x:f>
      </x:c>
      <x:c r="M144" t="str">
        <x:f>IF(A144="","",IF(ISNUMBER(H144)=FALSE,"Review Terms",IF(J144&gt;=I144,"Used",IF(AND(J144&gt;0,J144&lt;I144,H144&lt;TODAY()),"Missed",IF(AND(J144=0,H144&lt;TODAY()),"Missed",IF(AND(I144-J144&gt;0,H144-TODAY()&lt;='Benefits Master'!N144),"Expiring Soon",IF(J144&gt;0,"Partially Used","Not Used")))))))</x:f>
      </x:c>
      <x:c r="N144" t="str">
        <x:f>IF(A144="","",IF(ISNUMBER(H144),H144-TODAY(),""))</x:f>
      </x:c>
      <x:c r="O144" t="str">
        <x:f>IF(A144="","",'Benefits Master'!P144)</x:f>
      </x:c>
      <x:c r="P144" t="str">
        <x:f>IF(A144="","",'Benefits Master'!Q144)</x:f>
      </x:c>
      <x:c r="Q144" t="str">
        <x:f>IF(A144="","",'Benefits Master'!S144)</x:f>
      </x:c>
    </x:row>
    <x:row r="145">
      <x:c r="A145" t="str">
        <x:f>IF('Benefits Master'!A145="","",'Benefits Master'!A145)</x:f>
      </x:c>
      <x:c r="B145" t="str">
        <x:f>IF(A145="","",'Benefits Master'!B145)</x:f>
      </x:c>
      <x:c r="C145" t="str">
        <x:f>IF(A145="","",'Benefits Master'!D145)</x:f>
      </x:c>
      <x:c r="D145" t="str">
        <x:f>IF(A145="","",'Benefits Master'!E145)</x:f>
      </x:c>
      <x:c r="E145" t="str">
        <x:f>IF(A145="","",'Benefits Master'!J145)</x:f>
      </x:c>
      <x:c r="F145" t="str">
        <x:f>IF(A145="","",'Benefits Master'!K145)</x:f>
      </x:c>
      <x:c r="G145" t="str">
        <x:f>IF(A145="","",IF(F145="Jan-Jun",YEAR(TODAY())&amp;"-H1",IF(F145="Jul-Dec",YEAR(TODAY())&amp;"-H2",IF(E145="Monthly",TEXT(TODAY(),"yyyy-mm"),IF(E145="Quarterly",YEAR(TODAY())&amp;"-Q"&amp;ROUNDUP(MONTH(TODAY())/3,0),IF(E145="Semiannual",IF(MONTH(TODAY())&lt;=6,YEAR(TODAY())&amp;"-H1",YEAR(TODAY())&amp;"-H2"),IF(E145="Annual",YEAR(TODAY()),IF(E145="One-time","One-time","Custom"))))))))</x:f>
      </x:c>
      <x:c r="H145" t="str">
        <x:f>IF(A145="","",IF('Benefits Master'!M145&lt;&gt;"",'Benefits Master'!M145,IF('Benefits Master'!L145="End of Month",EOMONTH(TODAY(),0),IF('Benefits Master'!L145="End of Quarter",EOMONTH(DATE(YEAR(TODAY()),ROUNDUP(MONTH(TODAY())/3,0)*3,1),0),IF('Benefits Master'!L145="June 30",DATE(YEAR(TODAY()),6,30),IF('Benefits Master'!L145="Dec 31",DATE(YEAR(TODAY()),12,31),IF('Benefits Master'!L145="Card Anniversary","Enter open date",IF('Benefits Master'!L145="Specific Date","Set specific date",DATE(YEAR(TODAY()),12,31)))))))))</x:f>
      </x:c>
      <x:c r="I145" t="str">
        <x:f>IF(A145="","",'Benefits Master'!H145)</x:f>
      </x:c>
      <x:c r="J145" t="str">
        <x:f>IF(A145="","",SUMIFS('Benefit Usage Log'!$H:$H,'Benefit Usage Log'!$E:$E,A145,'Benefit Usage Log'!$G:$G,G145))</x:f>
      </x:c>
      <x:c r="K145" t="str">
        <x:f>IF(A145="","",MAX(0,I145-J145))</x:f>
      </x:c>
      <x:c r="L145" t="str">
        <x:f>IF(A145="","",IF(I145=0,0,MIN(1,J145/I145)))</x:f>
      </x:c>
      <x:c r="M145" t="str">
        <x:f>IF(A145="","",IF(ISNUMBER(H145)=FALSE,"Review Terms",IF(J145&gt;=I145,"Used",IF(AND(J145&gt;0,J145&lt;I145,H145&lt;TODAY()),"Missed",IF(AND(J145=0,H145&lt;TODAY()),"Missed",IF(AND(I145-J145&gt;0,H145-TODAY()&lt;='Benefits Master'!N145),"Expiring Soon",IF(J145&gt;0,"Partially Used","Not Used")))))))</x:f>
      </x:c>
      <x:c r="N145" t="str">
        <x:f>IF(A145="","",IF(ISNUMBER(H145),H145-TODAY(),""))</x:f>
      </x:c>
      <x:c r="O145" t="str">
        <x:f>IF(A145="","",'Benefits Master'!P145)</x:f>
      </x:c>
      <x:c r="P145" t="str">
        <x:f>IF(A145="","",'Benefits Master'!Q145)</x:f>
      </x:c>
      <x:c r="Q145" t="str">
        <x:f>IF(A145="","",'Benefits Master'!S145)</x:f>
      </x:c>
    </x:row>
    <x:row r="146">
      <x:c r="A146" t="str">
        <x:f>IF('Benefits Master'!A146="","",'Benefits Master'!A146)</x:f>
      </x:c>
      <x:c r="B146" t="str">
        <x:f>IF(A146="","",'Benefits Master'!B146)</x:f>
      </x:c>
      <x:c r="C146" t="str">
        <x:f>IF(A146="","",'Benefits Master'!D146)</x:f>
      </x:c>
      <x:c r="D146" t="str">
        <x:f>IF(A146="","",'Benefits Master'!E146)</x:f>
      </x:c>
      <x:c r="E146" t="str">
        <x:f>IF(A146="","",'Benefits Master'!J146)</x:f>
      </x:c>
      <x:c r="F146" t="str">
        <x:f>IF(A146="","",'Benefits Master'!K146)</x:f>
      </x:c>
      <x:c r="G146" t="str">
        <x:f>IF(A146="","",IF(F146="Jan-Jun",YEAR(TODAY())&amp;"-H1",IF(F146="Jul-Dec",YEAR(TODAY())&amp;"-H2",IF(E146="Monthly",TEXT(TODAY(),"yyyy-mm"),IF(E146="Quarterly",YEAR(TODAY())&amp;"-Q"&amp;ROUNDUP(MONTH(TODAY())/3,0),IF(E146="Semiannual",IF(MONTH(TODAY())&lt;=6,YEAR(TODAY())&amp;"-H1",YEAR(TODAY())&amp;"-H2"),IF(E146="Annual",YEAR(TODAY()),IF(E146="One-time","One-time","Custom"))))))))</x:f>
      </x:c>
      <x:c r="H146" t="str">
        <x:f>IF(A146="","",IF('Benefits Master'!M146&lt;&gt;"",'Benefits Master'!M146,IF('Benefits Master'!L146="End of Month",EOMONTH(TODAY(),0),IF('Benefits Master'!L146="End of Quarter",EOMONTH(DATE(YEAR(TODAY()),ROUNDUP(MONTH(TODAY())/3,0)*3,1),0),IF('Benefits Master'!L146="June 30",DATE(YEAR(TODAY()),6,30),IF('Benefits Master'!L146="Dec 31",DATE(YEAR(TODAY()),12,31),IF('Benefits Master'!L146="Card Anniversary","Enter open date",IF('Benefits Master'!L146="Specific Date","Set specific date",DATE(YEAR(TODAY()),12,31)))))))))</x:f>
      </x:c>
      <x:c r="I146" t="str">
        <x:f>IF(A146="","",'Benefits Master'!H146)</x:f>
      </x:c>
      <x:c r="J146" t="str">
        <x:f>IF(A146="","",SUMIFS('Benefit Usage Log'!$H:$H,'Benefit Usage Log'!$E:$E,A146,'Benefit Usage Log'!$G:$G,G146))</x:f>
      </x:c>
      <x:c r="K146" t="str">
        <x:f>IF(A146="","",MAX(0,I146-J146))</x:f>
      </x:c>
      <x:c r="L146" t="str">
        <x:f>IF(A146="","",IF(I146=0,0,MIN(1,J146/I146)))</x:f>
      </x:c>
      <x:c r="M146" t="str">
        <x:f>IF(A146="","",IF(ISNUMBER(H146)=FALSE,"Review Terms",IF(J146&gt;=I146,"Used",IF(AND(J146&gt;0,J146&lt;I146,H146&lt;TODAY()),"Missed",IF(AND(J146=0,H146&lt;TODAY()),"Missed",IF(AND(I146-J146&gt;0,H146-TODAY()&lt;='Benefits Master'!N146),"Expiring Soon",IF(J146&gt;0,"Partially Used","Not Used")))))))</x:f>
      </x:c>
      <x:c r="N146" t="str">
        <x:f>IF(A146="","",IF(ISNUMBER(H146),H146-TODAY(),""))</x:f>
      </x:c>
      <x:c r="O146" t="str">
        <x:f>IF(A146="","",'Benefits Master'!P146)</x:f>
      </x:c>
      <x:c r="P146" t="str">
        <x:f>IF(A146="","",'Benefits Master'!Q146)</x:f>
      </x:c>
      <x:c r="Q146" t="str">
        <x:f>IF(A146="","",'Benefits Master'!S146)</x:f>
      </x:c>
    </x:row>
    <x:row r="147">
      <x:c r="A147" t="str">
        <x:f>IF('Benefits Master'!A147="","",'Benefits Master'!A147)</x:f>
      </x:c>
      <x:c r="B147" t="str">
        <x:f>IF(A147="","",'Benefits Master'!B147)</x:f>
      </x:c>
      <x:c r="C147" t="str">
        <x:f>IF(A147="","",'Benefits Master'!D147)</x:f>
      </x:c>
      <x:c r="D147" t="str">
        <x:f>IF(A147="","",'Benefits Master'!E147)</x:f>
      </x:c>
      <x:c r="E147" t="str">
        <x:f>IF(A147="","",'Benefits Master'!J147)</x:f>
      </x:c>
      <x:c r="F147" t="str">
        <x:f>IF(A147="","",'Benefits Master'!K147)</x:f>
      </x:c>
      <x:c r="G147" t="str">
        <x:f>IF(A147="","",IF(F147="Jan-Jun",YEAR(TODAY())&amp;"-H1",IF(F147="Jul-Dec",YEAR(TODAY())&amp;"-H2",IF(E147="Monthly",TEXT(TODAY(),"yyyy-mm"),IF(E147="Quarterly",YEAR(TODAY())&amp;"-Q"&amp;ROUNDUP(MONTH(TODAY())/3,0),IF(E147="Semiannual",IF(MONTH(TODAY())&lt;=6,YEAR(TODAY())&amp;"-H1",YEAR(TODAY())&amp;"-H2"),IF(E147="Annual",YEAR(TODAY()),IF(E147="One-time","One-time","Custom"))))))))</x:f>
      </x:c>
      <x:c r="H147" t="str">
        <x:f>IF(A147="","",IF('Benefits Master'!M147&lt;&gt;"",'Benefits Master'!M147,IF('Benefits Master'!L147="End of Month",EOMONTH(TODAY(),0),IF('Benefits Master'!L147="End of Quarter",EOMONTH(DATE(YEAR(TODAY()),ROUNDUP(MONTH(TODAY())/3,0)*3,1),0),IF('Benefits Master'!L147="June 30",DATE(YEAR(TODAY()),6,30),IF('Benefits Master'!L147="Dec 31",DATE(YEAR(TODAY()),12,31),IF('Benefits Master'!L147="Card Anniversary","Enter open date",IF('Benefits Master'!L147="Specific Date","Set specific date",DATE(YEAR(TODAY()),12,31)))))))))</x:f>
      </x:c>
      <x:c r="I147" t="str">
        <x:f>IF(A147="","",'Benefits Master'!H147)</x:f>
      </x:c>
      <x:c r="J147" t="str">
        <x:f>IF(A147="","",SUMIFS('Benefit Usage Log'!$H:$H,'Benefit Usage Log'!$E:$E,A147,'Benefit Usage Log'!$G:$G,G147))</x:f>
      </x:c>
      <x:c r="K147" t="str">
        <x:f>IF(A147="","",MAX(0,I147-J147))</x:f>
      </x:c>
      <x:c r="L147" t="str">
        <x:f>IF(A147="","",IF(I147=0,0,MIN(1,J147/I147)))</x:f>
      </x:c>
      <x:c r="M147" t="str">
        <x:f>IF(A147="","",IF(ISNUMBER(H147)=FALSE,"Review Terms",IF(J147&gt;=I147,"Used",IF(AND(J147&gt;0,J147&lt;I147,H147&lt;TODAY()),"Missed",IF(AND(J147=0,H147&lt;TODAY()),"Missed",IF(AND(I147-J147&gt;0,H147-TODAY()&lt;='Benefits Master'!N147),"Expiring Soon",IF(J147&gt;0,"Partially Used","Not Used")))))))</x:f>
      </x:c>
      <x:c r="N147" t="str">
        <x:f>IF(A147="","",IF(ISNUMBER(H147),H147-TODAY(),""))</x:f>
      </x:c>
      <x:c r="O147" t="str">
        <x:f>IF(A147="","",'Benefits Master'!P147)</x:f>
      </x:c>
      <x:c r="P147" t="str">
        <x:f>IF(A147="","",'Benefits Master'!Q147)</x:f>
      </x:c>
      <x:c r="Q147" t="str">
        <x:f>IF(A147="","",'Benefits Master'!S147)</x:f>
      </x:c>
    </x:row>
    <x:row r="148">
      <x:c r="A148" t="str">
        <x:f>IF('Benefits Master'!A148="","",'Benefits Master'!A148)</x:f>
      </x:c>
      <x:c r="B148" t="str">
        <x:f>IF(A148="","",'Benefits Master'!B148)</x:f>
      </x:c>
      <x:c r="C148" t="str">
        <x:f>IF(A148="","",'Benefits Master'!D148)</x:f>
      </x:c>
      <x:c r="D148" t="str">
        <x:f>IF(A148="","",'Benefits Master'!E148)</x:f>
      </x:c>
      <x:c r="E148" t="str">
        <x:f>IF(A148="","",'Benefits Master'!J148)</x:f>
      </x:c>
      <x:c r="F148" t="str">
        <x:f>IF(A148="","",'Benefits Master'!K148)</x:f>
      </x:c>
      <x:c r="G148" t="str">
        <x:f>IF(A148="","",IF(F148="Jan-Jun",YEAR(TODAY())&amp;"-H1",IF(F148="Jul-Dec",YEAR(TODAY())&amp;"-H2",IF(E148="Monthly",TEXT(TODAY(),"yyyy-mm"),IF(E148="Quarterly",YEAR(TODAY())&amp;"-Q"&amp;ROUNDUP(MONTH(TODAY())/3,0),IF(E148="Semiannual",IF(MONTH(TODAY())&lt;=6,YEAR(TODAY())&amp;"-H1",YEAR(TODAY())&amp;"-H2"),IF(E148="Annual",YEAR(TODAY()),IF(E148="One-time","One-time","Custom"))))))))</x:f>
      </x:c>
      <x:c r="H148" t="str">
        <x:f>IF(A148="","",IF('Benefits Master'!M148&lt;&gt;"",'Benefits Master'!M148,IF('Benefits Master'!L148="End of Month",EOMONTH(TODAY(),0),IF('Benefits Master'!L148="End of Quarter",EOMONTH(DATE(YEAR(TODAY()),ROUNDUP(MONTH(TODAY())/3,0)*3,1),0),IF('Benefits Master'!L148="June 30",DATE(YEAR(TODAY()),6,30),IF('Benefits Master'!L148="Dec 31",DATE(YEAR(TODAY()),12,31),IF('Benefits Master'!L148="Card Anniversary","Enter open date",IF('Benefits Master'!L148="Specific Date","Set specific date",DATE(YEAR(TODAY()),12,31)))))))))</x:f>
      </x:c>
      <x:c r="I148" t="str">
        <x:f>IF(A148="","",'Benefits Master'!H148)</x:f>
      </x:c>
      <x:c r="J148" t="str">
        <x:f>IF(A148="","",SUMIFS('Benefit Usage Log'!$H:$H,'Benefit Usage Log'!$E:$E,A148,'Benefit Usage Log'!$G:$G,G148))</x:f>
      </x:c>
      <x:c r="K148" t="str">
        <x:f>IF(A148="","",MAX(0,I148-J148))</x:f>
      </x:c>
      <x:c r="L148" t="str">
        <x:f>IF(A148="","",IF(I148=0,0,MIN(1,J148/I148)))</x:f>
      </x:c>
      <x:c r="M148" t="str">
        <x:f>IF(A148="","",IF(ISNUMBER(H148)=FALSE,"Review Terms",IF(J148&gt;=I148,"Used",IF(AND(J148&gt;0,J148&lt;I148,H148&lt;TODAY()),"Missed",IF(AND(J148=0,H148&lt;TODAY()),"Missed",IF(AND(I148-J148&gt;0,H148-TODAY()&lt;='Benefits Master'!N148),"Expiring Soon",IF(J148&gt;0,"Partially Used","Not Used")))))))</x:f>
      </x:c>
      <x:c r="N148" t="str">
        <x:f>IF(A148="","",IF(ISNUMBER(H148),H148-TODAY(),""))</x:f>
      </x:c>
      <x:c r="O148" t="str">
        <x:f>IF(A148="","",'Benefits Master'!P148)</x:f>
      </x:c>
      <x:c r="P148" t="str">
        <x:f>IF(A148="","",'Benefits Master'!Q148)</x:f>
      </x:c>
      <x:c r="Q148" t="str">
        <x:f>IF(A148="","",'Benefits Master'!S148)</x:f>
      </x:c>
    </x:row>
    <x:row r="149">
      <x:c r="A149" t="str">
        <x:f>IF('Benefits Master'!A149="","",'Benefits Master'!A149)</x:f>
      </x:c>
      <x:c r="B149" t="str">
        <x:f>IF(A149="","",'Benefits Master'!B149)</x:f>
      </x:c>
      <x:c r="C149" t="str">
        <x:f>IF(A149="","",'Benefits Master'!D149)</x:f>
      </x:c>
      <x:c r="D149" t="str">
        <x:f>IF(A149="","",'Benefits Master'!E149)</x:f>
      </x:c>
      <x:c r="E149" t="str">
        <x:f>IF(A149="","",'Benefits Master'!J149)</x:f>
      </x:c>
      <x:c r="F149" t="str">
        <x:f>IF(A149="","",'Benefits Master'!K149)</x:f>
      </x:c>
      <x:c r="G149" t="str">
        <x:f>IF(A149="","",IF(F149="Jan-Jun",YEAR(TODAY())&amp;"-H1",IF(F149="Jul-Dec",YEAR(TODAY())&amp;"-H2",IF(E149="Monthly",TEXT(TODAY(),"yyyy-mm"),IF(E149="Quarterly",YEAR(TODAY())&amp;"-Q"&amp;ROUNDUP(MONTH(TODAY())/3,0),IF(E149="Semiannual",IF(MONTH(TODAY())&lt;=6,YEAR(TODAY())&amp;"-H1",YEAR(TODAY())&amp;"-H2"),IF(E149="Annual",YEAR(TODAY()),IF(E149="One-time","One-time","Custom"))))))))</x:f>
      </x:c>
      <x:c r="H149" t="str">
        <x:f>IF(A149="","",IF('Benefits Master'!M149&lt;&gt;"",'Benefits Master'!M149,IF('Benefits Master'!L149="End of Month",EOMONTH(TODAY(),0),IF('Benefits Master'!L149="End of Quarter",EOMONTH(DATE(YEAR(TODAY()),ROUNDUP(MONTH(TODAY())/3,0)*3,1),0),IF('Benefits Master'!L149="June 30",DATE(YEAR(TODAY()),6,30),IF('Benefits Master'!L149="Dec 31",DATE(YEAR(TODAY()),12,31),IF('Benefits Master'!L149="Card Anniversary","Enter open date",IF('Benefits Master'!L149="Specific Date","Set specific date",DATE(YEAR(TODAY()),12,31)))))))))</x:f>
      </x:c>
      <x:c r="I149" t="str">
        <x:f>IF(A149="","",'Benefits Master'!H149)</x:f>
      </x:c>
      <x:c r="J149" t="str">
        <x:f>IF(A149="","",SUMIFS('Benefit Usage Log'!$H:$H,'Benefit Usage Log'!$E:$E,A149,'Benefit Usage Log'!$G:$G,G149))</x:f>
      </x:c>
      <x:c r="K149" t="str">
        <x:f>IF(A149="","",MAX(0,I149-J149))</x:f>
      </x:c>
      <x:c r="L149" t="str">
        <x:f>IF(A149="","",IF(I149=0,0,MIN(1,J149/I149)))</x:f>
      </x:c>
      <x:c r="M149" t="str">
        <x:f>IF(A149="","",IF(ISNUMBER(H149)=FALSE,"Review Terms",IF(J149&gt;=I149,"Used",IF(AND(J149&gt;0,J149&lt;I149,H149&lt;TODAY()),"Missed",IF(AND(J149=0,H149&lt;TODAY()),"Missed",IF(AND(I149-J149&gt;0,H149-TODAY()&lt;='Benefits Master'!N149),"Expiring Soon",IF(J149&gt;0,"Partially Used","Not Used")))))))</x:f>
      </x:c>
      <x:c r="N149" t="str">
        <x:f>IF(A149="","",IF(ISNUMBER(H149),H149-TODAY(),""))</x:f>
      </x:c>
      <x:c r="O149" t="str">
        <x:f>IF(A149="","",'Benefits Master'!P149)</x:f>
      </x:c>
      <x:c r="P149" t="str">
        <x:f>IF(A149="","",'Benefits Master'!Q149)</x:f>
      </x:c>
      <x:c r="Q149" t="str">
        <x:f>IF(A149="","",'Benefits Master'!S149)</x:f>
      </x:c>
    </x:row>
    <x:row r="150">
      <x:c r="A150" t="str">
        <x:f>IF('Benefits Master'!A150="","",'Benefits Master'!A150)</x:f>
      </x:c>
      <x:c r="B150" t="str">
        <x:f>IF(A150="","",'Benefits Master'!B150)</x:f>
      </x:c>
      <x:c r="C150" t="str">
        <x:f>IF(A150="","",'Benefits Master'!D150)</x:f>
      </x:c>
      <x:c r="D150" t="str">
        <x:f>IF(A150="","",'Benefits Master'!E150)</x:f>
      </x:c>
      <x:c r="E150" t="str">
        <x:f>IF(A150="","",'Benefits Master'!J150)</x:f>
      </x:c>
      <x:c r="F150" t="str">
        <x:f>IF(A150="","",'Benefits Master'!K150)</x:f>
      </x:c>
      <x:c r="G150" t="str">
        <x:f>IF(A150="","",IF(F150="Jan-Jun",YEAR(TODAY())&amp;"-H1",IF(F150="Jul-Dec",YEAR(TODAY())&amp;"-H2",IF(E150="Monthly",TEXT(TODAY(),"yyyy-mm"),IF(E150="Quarterly",YEAR(TODAY())&amp;"-Q"&amp;ROUNDUP(MONTH(TODAY())/3,0),IF(E150="Semiannual",IF(MONTH(TODAY())&lt;=6,YEAR(TODAY())&amp;"-H1",YEAR(TODAY())&amp;"-H2"),IF(E150="Annual",YEAR(TODAY()),IF(E150="One-time","One-time","Custom"))))))))</x:f>
      </x:c>
      <x:c r="H150" t="str">
        <x:f>IF(A150="","",IF('Benefits Master'!M150&lt;&gt;"",'Benefits Master'!M150,IF('Benefits Master'!L150="End of Month",EOMONTH(TODAY(),0),IF('Benefits Master'!L150="End of Quarter",EOMONTH(DATE(YEAR(TODAY()),ROUNDUP(MONTH(TODAY())/3,0)*3,1),0),IF('Benefits Master'!L150="June 30",DATE(YEAR(TODAY()),6,30),IF('Benefits Master'!L150="Dec 31",DATE(YEAR(TODAY()),12,31),IF('Benefits Master'!L150="Card Anniversary","Enter open date",IF('Benefits Master'!L150="Specific Date","Set specific date",DATE(YEAR(TODAY()),12,31)))))))))</x:f>
      </x:c>
      <x:c r="I150" t="str">
        <x:f>IF(A150="","",'Benefits Master'!H150)</x:f>
      </x:c>
      <x:c r="J150" t="str">
        <x:f>IF(A150="","",SUMIFS('Benefit Usage Log'!$H:$H,'Benefit Usage Log'!$E:$E,A150,'Benefit Usage Log'!$G:$G,G150))</x:f>
      </x:c>
      <x:c r="K150" t="str">
        <x:f>IF(A150="","",MAX(0,I150-J150))</x:f>
      </x:c>
      <x:c r="L150" t="str">
        <x:f>IF(A150="","",IF(I150=0,0,MIN(1,J150/I150)))</x:f>
      </x:c>
      <x:c r="M150" t="str">
        <x:f>IF(A150="","",IF(ISNUMBER(H150)=FALSE,"Review Terms",IF(J150&gt;=I150,"Used",IF(AND(J150&gt;0,J150&lt;I150,H150&lt;TODAY()),"Missed",IF(AND(J150=0,H150&lt;TODAY()),"Missed",IF(AND(I150-J150&gt;0,H150-TODAY()&lt;='Benefits Master'!N150),"Expiring Soon",IF(J150&gt;0,"Partially Used","Not Used")))))))</x:f>
      </x:c>
      <x:c r="N150" t="str">
        <x:f>IF(A150="","",IF(ISNUMBER(H150),H150-TODAY(),""))</x:f>
      </x:c>
      <x:c r="O150" t="str">
        <x:f>IF(A150="","",'Benefits Master'!P150)</x:f>
      </x:c>
      <x:c r="P150" t="str">
        <x:f>IF(A150="","",'Benefits Master'!Q150)</x:f>
      </x:c>
      <x:c r="Q150" t="str">
        <x:f>IF(A150="","",'Benefits Master'!S150)</x:f>
      </x:c>
    </x:row>
    <x:row r="151">
      <x:c r="A151" t="str">
        <x:f>IF('Benefits Master'!A151="","",'Benefits Master'!A151)</x:f>
      </x:c>
      <x:c r="B151" t="str">
        <x:f>IF(A151="","",'Benefits Master'!B151)</x:f>
      </x:c>
      <x:c r="C151" t="str">
        <x:f>IF(A151="","",'Benefits Master'!D151)</x:f>
      </x:c>
      <x:c r="D151" t="str">
        <x:f>IF(A151="","",'Benefits Master'!E151)</x:f>
      </x:c>
      <x:c r="E151" t="str">
        <x:f>IF(A151="","",'Benefits Master'!J151)</x:f>
      </x:c>
      <x:c r="F151" t="str">
        <x:f>IF(A151="","",'Benefits Master'!K151)</x:f>
      </x:c>
      <x:c r="G151" t="str">
        <x:f>IF(A151="","",IF(F151="Jan-Jun",YEAR(TODAY())&amp;"-H1",IF(F151="Jul-Dec",YEAR(TODAY())&amp;"-H2",IF(E151="Monthly",TEXT(TODAY(),"yyyy-mm"),IF(E151="Quarterly",YEAR(TODAY())&amp;"-Q"&amp;ROUNDUP(MONTH(TODAY())/3,0),IF(E151="Semiannual",IF(MONTH(TODAY())&lt;=6,YEAR(TODAY())&amp;"-H1",YEAR(TODAY())&amp;"-H2"),IF(E151="Annual",YEAR(TODAY()),IF(E151="One-time","One-time","Custom"))))))))</x:f>
      </x:c>
      <x:c r="H151" t="str">
        <x:f>IF(A151="","",IF('Benefits Master'!M151&lt;&gt;"",'Benefits Master'!M151,IF('Benefits Master'!L151="End of Month",EOMONTH(TODAY(),0),IF('Benefits Master'!L151="End of Quarter",EOMONTH(DATE(YEAR(TODAY()),ROUNDUP(MONTH(TODAY())/3,0)*3,1),0),IF('Benefits Master'!L151="June 30",DATE(YEAR(TODAY()),6,30),IF('Benefits Master'!L151="Dec 31",DATE(YEAR(TODAY()),12,31),IF('Benefits Master'!L151="Card Anniversary","Enter open date",IF('Benefits Master'!L151="Specific Date","Set specific date",DATE(YEAR(TODAY()),12,31)))))))))</x:f>
      </x:c>
      <x:c r="I151" t="str">
        <x:f>IF(A151="","",'Benefits Master'!H151)</x:f>
      </x:c>
      <x:c r="J151" t="str">
        <x:f>IF(A151="","",SUMIFS('Benefit Usage Log'!$H:$H,'Benefit Usage Log'!$E:$E,A151,'Benefit Usage Log'!$G:$G,G151))</x:f>
      </x:c>
      <x:c r="K151" t="str">
        <x:f>IF(A151="","",MAX(0,I151-J151))</x:f>
      </x:c>
      <x:c r="L151" t="str">
        <x:f>IF(A151="","",IF(I151=0,0,MIN(1,J151/I151)))</x:f>
      </x:c>
      <x:c r="M151" t="str">
        <x:f>IF(A151="","",IF(ISNUMBER(H151)=FALSE,"Review Terms",IF(J151&gt;=I151,"Used",IF(AND(J151&gt;0,J151&lt;I151,H151&lt;TODAY()),"Missed",IF(AND(J151=0,H151&lt;TODAY()),"Missed",IF(AND(I151-J151&gt;0,H151-TODAY()&lt;='Benefits Master'!N151),"Expiring Soon",IF(J151&gt;0,"Partially Used","Not Used")))))))</x:f>
      </x:c>
      <x:c r="N151" t="str">
        <x:f>IF(A151="","",IF(ISNUMBER(H151),H151-TODAY(),""))</x:f>
      </x:c>
      <x:c r="O151" t="str">
        <x:f>IF(A151="","",'Benefits Master'!P151)</x:f>
      </x:c>
      <x:c r="P151" t="str">
        <x:f>IF(A151="","",'Benefits Master'!Q151)</x:f>
      </x:c>
      <x:c r="Q151" t="str">
        <x:f>IF(A151="","",'Benefits Master'!S151)</x:f>
      </x:c>
    </x:row>
    <x:row r="152">
      <x:c r="A152" t="str">
        <x:f>IF('Benefits Master'!A152="","",'Benefits Master'!A152)</x:f>
      </x:c>
      <x:c r="B152" t="str">
        <x:f>IF(A152="","",'Benefits Master'!B152)</x:f>
      </x:c>
      <x:c r="C152" t="str">
        <x:f>IF(A152="","",'Benefits Master'!D152)</x:f>
      </x:c>
      <x:c r="D152" t="str">
        <x:f>IF(A152="","",'Benefits Master'!E152)</x:f>
      </x:c>
      <x:c r="E152" t="str">
        <x:f>IF(A152="","",'Benefits Master'!J152)</x:f>
      </x:c>
      <x:c r="F152" t="str">
        <x:f>IF(A152="","",'Benefits Master'!K152)</x:f>
      </x:c>
      <x:c r="G152" t="str">
        <x:f>IF(A152="","",IF(F152="Jan-Jun",YEAR(TODAY())&amp;"-H1",IF(F152="Jul-Dec",YEAR(TODAY())&amp;"-H2",IF(E152="Monthly",TEXT(TODAY(),"yyyy-mm"),IF(E152="Quarterly",YEAR(TODAY())&amp;"-Q"&amp;ROUNDUP(MONTH(TODAY())/3,0),IF(E152="Semiannual",IF(MONTH(TODAY())&lt;=6,YEAR(TODAY())&amp;"-H1",YEAR(TODAY())&amp;"-H2"),IF(E152="Annual",YEAR(TODAY()),IF(E152="One-time","One-time","Custom"))))))))</x:f>
      </x:c>
      <x:c r="H152" t="str">
        <x:f>IF(A152="","",IF('Benefits Master'!M152&lt;&gt;"",'Benefits Master'!M152,IF('Benefits Master'!L152="End of Month",EOMONTH(TODAY(),0),IF('Benefits Master'!L152="End of Quarter",EOMONTH(DATE(YEAR(TODAY()),ROUNDUP(MONTH(TODAY())/3,0)*3,1),0),IF('Benefits Master'!L152="June 30",DATE(YEAR(TODAY()),6,30),IF('Benefits Master'!L152="Dec 31",DATE(YEAR(TODAY()),12,31),IF('Benefits Master'!L152="Card Anniversary","Enter open date",IF('Benefits Master'!L152="Specific Date","Set specific date",DATE(YEAR(TODAY()),12,31)))))))))</x:f>
      </x:c>
      <x:c r="I152" t="str">
        <x:f>IF(A152="","",'Benefits Master'!H152)</x:f>
      </x:c>
      <x:c r="J152" t="str">
        <x:f>IF(A152="","",SUMIFS('Benefit Usage Log'!$H:$H,'Benefit Usage Log'!$E:$E,A152,'Benefit Usage Log'!$G:$G,G152))</x:f>
      </x:c>
      <x:c r="K152" t="str">
        <x:f>IF(A152="","",MAX(0,I152-J152))</x:f>
      </x:c>
      <x:c r="L152" t="str">
        <x:f>IF(A152="","",IF(I152=0,0,MIN(1,J152/I152)))</x:f>
      </x:c>
      <x:c r="M152" t="str">
        <x:f>IF(A152="","",IF(ISNUMBER(H152)=FALSE,"Review Terms",IF(J152&gt;=I152,"Used",IF(AND(J152&gt;0,J152&lt;I152,H152&lt;TODAY()),"Missed",IF(AND(J152=0,H152&lt;TODAY()),"Missed",IF(AND(I152-J152&gt;0,H152-TODAY()&lt;='Benefits Master'!N152),"Expiring Soon",IF(J152&gt;0,"Partially Used","Not Used")))))))</x:f>
      </x:c>
      <x:c r="N152" t="str">
        <x:f>IF(A152="","",IF(ISNUMBER(H152),H152-TODAY(),""))</x:f>
      </x:c>
      <x:c r="O152" t="str">
        <x:f>IF(A152="","",'Benefits Master'!P152)</x:f>
      </x:c>
      <x:c r="P152" t="str">
        <x:f>IF(A152="","",'Benefits Master'!Q152)</x:f>
      </x:c>
      <x:c r="Q152" t="str">
        <x:f>IF(A152="","",'Benefits Master'!S152)</x:f>
      </x:c>
    </x:row>
    <x:row r="153">
      <x:c r="A153" t="str">
        <x:f>IF('Benefits Master'!A153="","",'Benefits Master'!A153)</x:f>
      </x:c>
      <x:c r="B153" t="str">
        <x:f>IF(A153="","",'Benefits Master'!B153)</x:f>
      </x:c>
      <x:c r="C153" t="str">
        <x:f>IF(A153="","",'Benefits Master'!D153)</x:f>
      </x:c>
      <x:c r="D153" t="str">
        <x:f>IF(A153="","",'Benefits Master'!E153)</x:f>
      </x:c>
      <x:c r="E153" t="str">
        <x:f>IF(A153="","",'Benefits Master'!J153)</x:f>
      </x:c>
      <x:c r="F153" t="str">
        <x:f>IF(A153="","",'Benefits Master'!K153)</x:f>
      </x:c>
      <x:c r="G153" t="str">
        <x:f>IF(A153="","",IF(F153="Jan-Jun",YEAR(TODAY())&amp;"-H1",IF(F153="Jul-Dec",YEAR(TODAY())&amp;"-H2",IF(E153="Monthly",TEXT(TODAY(),"yyyy-mm"),IF(E153="Quarterly",YEAR(TODAY())&amp;"-Q"&amp;ROUNDUP(MONTH(TODAY())/3,0),IF(E153="Semiannual",IF(MONTH(TODAY())&lt;=6,YEAR(TODAY())&amp;"-H1",YEAR(TODAY())&amp;"-H2"),IF(E153="Annual",YEAR(TODAY()),IF(E153="One-time","One-time","Custom"))))))))</x:f>
      </x:c>
      <x:c r="H153" t="str">
        <x:f>IF(A153="","",IF('Benefits Master'!M153&lt;&gt;"",'Benefits Master'!M153,IF('Benefits Master'!L153="End of Month",EOMONTH(TODAY(),0),IF('Benefits Master'!L153="End of Quarter",EOMONTH(DATE(YEAR(TODAY()),ROUNDUP(MONTH(TODAY())/3,0)*3,1),0),IF('Benefits Master'!L153="June 30",DATE(YEAR(TODAY()),6,30),IF('Benefits Master'!L153="Dec 31",DATE(YEAR(TODAY()),12,31),IF('Benefits Master'!L153="Card Anniversary","Enter open date",IF('Benefits Master'!L153="Specific Date","Set specific date",DATE(YEAR(TODAY()),12,31)))))))))</x:f>
      </x:c>
      <x:c r="I153" t="str">
        <x:f>IF(A153="","",'Benefits Master'!H153)</x:f>
      </x:c>
      <x:c r="J153" t="str">
        <x:f>IF(A153="","",SUMIFS('Benefit Usage Log'!$H:$H,'Benefit Usage Log'!$E:$E,A153,'Benefit Usage Log'!$G:$G,G153))</x:f>
      </x:c>
      <x:c r="K153" t="str">
        <x:f>IF(A153="","",MAX(0,I153-J153))</x:f>
      </x:c>
      <x:c r="L153" t="str">
        <x:f>IF(A153="","",IF(I153=0,0,MIN(1,J153/I153)))</x:f>
      </x:c>
      <x:c r="M153" t="str">
        <x:f>IF(A153="","",IF(ISNUMBER(H153)=FALSE,"Review Terms",IF(J153&gt;=I153,"Used",IF(AND(J153&gt;0,J153&lt;I153,H153&lt;TODAY()),"Missed",IF(AND(J153=0,H153&lt;TODAY()),"Missed",IF(AND(I153-J153&gt;0,H153-TODAY()&lt;='Benefits Master'!N153),"Expiring Soon",IF(J153&gt;0,"Partially Used","Not Used")))))))</x:f>
      </x:c>
      <x:c r="N153" t="str">
        <x:f>IF(A153="","",IF(ISNUMBER(H153),H153-TODAY(),""))</x:f>
      </x:c>
      <x:c r="O153" t="str">
        <x:f>IF(A153="","",'Benefits Master'!P153)</x:f>
      </x:c>
      <x:c r="P153" t="str">
        <x:f>IF(A153="","",'Benefits Master'!Q153)</x:f>
      </x:c>
      <x:c r="Q153" t="str">
        <x:f>IF(A153="","",'Benefits Master'!S153)</x:f>
      </x:c>
    </x:row>
    <x:row r="154">
      <x:c r="A154" t="str">
        <x:f>IF('Benefits Master'!A154="","",'Benefits Master'!A154)</x:f>
      </x:c>
      <x:c r="B154" t="str">
        <x:f>IF(A154="","",'Benefits Master'!B154)</x:f>
      </x:c>
      <x:c r="C154" t="str">
        <x:f>IF(A154="","",'Benefits Master'!D154)</x:f>
      </x:c>
      <x:c r="D154" t="str">
        <x:f>IF(A154="","",'Benefits Master'!E154)</x:f>
      </x:c>
      <x:c r="E154" t="str">
        <x:f>IF(A154="","",'Benefits Master'!J154)</x:f>
      </x:c>
      <x:c r="F154" t="str">
        <x:f>IF(A154="","",'Benefits Master'!K154)</x:f>
      </x:c>
      <x:c r="G154" t="str">
        <x:f>IF(A154="","",IF(F154="Jan-Jun",YEAR(TODAY())&amp;"-H1",IF(F154="Jul-Dec",YEAR(TODAY())&amp;"-H2",IF(E154="Monthly",TEXT(TODAY(),"yyyy-mm"),IF(E154="Quarterly",YEAR(TODAY())&amp;"-Q"&amp;ROUNDUP(MONTH(TODAY())/3,0),IF(E154="Semiannual",IF(MONTH(TODAY())&lt;=6,YEAR(TODAY())&amp;"-H1",YEAR(TODAY())&amp;"-H2"),IF(E154="Annual",YEAR(TODAY()),IF(E154="One-time","One-time","Custom"))))))))</x:f>
      </x:c>
      <x:c r="H154" t="str">
        <x:f>IF(A154="","",IF('Benefits Master'!M154&lt;&gt;"",'Benefits Master'!M154,IF('Benefits Master'!L154="End of Month",EOMONTH(TODAY(),0),IF('Benefits Master'!L154="End of Quarter",EOMONTH(DATE(YEAR(TODAY()),ROUNDUP(MONTH(TODAY())/3,0)*3,1),0),IF('Benefits Master'!L154="June 30",DATE(YEAR(TODAY()),6,30),IF('Benefits Master'!L154="Dec 31",DATE(YEAR(TODAY()),12,31),IF('Benefits Master'!L154="Card Anniversary","Enter open date",IF('Benefits Master'!L154="Specific Date","Set specific date",DATE(YEAR(TODAY()),12,31)))))))))</x:f>
      </x:c>
      <x:c r="I154" t="str">
        <x:f>IF(A154="","",'Benefits Master'!H154)</x:f>
      </x:c>
      <x:c r="J154" t="str">
        <x:f>IF(A154="","",SUMIFS('Benefit Usage Log'!$H:$H,'Benefit Usage Log'!$E:$E,A154,'Benefit Usage Log'!$G:$G,G154))</x:f>
      </x:c>
      <x:c r="K154" t="str">
        <x:f>IF(A154="","",MAX(0,I154-J154))</x:f>
      </x:c>
      <x:c r="L154" t="str">
        <x:f>IF(A154="","",IF(I154=0,0,MIN(1,J154/I154)))</x:f>
      </x:c>
      <x:c r="M154" t="str">
        <x:f>IF(A154="","",IF(ISNUMBER(H154)=FALSE,"Review Terms",IF(J154&gt;=I154,"Used",IF(AND(J154&gt;0,J154&lt;I154,H154&lt;TODAY()),"Missed",IF(AND(J154=0,H154&lt;TODAY()),"Missed",IF(AND(I154-J154&gt;0,H154-TODAY()&lt;='Benefits Master'!N154),"Expiring Soon",IF(J154&gt;0,"Partially Used","Not Used")))))))</x:f>
      </x:c>
      <x:c r="N154" t="str">
        <x:f>IF(A154="","",IF(ISNUMBER(H154),H154-TODAY(),""))</x:f>
      </x:c>
      <x:c r="O154" t="str">
        <x:f>IF(A154="","",'Benefits Master'!P154)</x:f>
      </x:c>
      <x:c r="P154" t="str">
        <x:f>IF(A154="","",'Benefits Master'!Q154)</x:f>
      </x:c>
      <x:c r="Q154" t="str">
        <x:f>IF(A154="","",'Benefits Master'!S154)</x:f>
      </x:c>
    </x:row>
    <x:row r="155">
      <x:c r="A155" t="str">
        <x:f>IF('Benefits Master'!A155="","",'Benefits Master'!A155)</x:f>
      </x:c>
      <x:c r="B155" t="str">
        <x:f>IF(A155="","",'Benefits Master'!B155)</x:f>
      </x:c>
      <x:c r="C155" t="str">
        <x:f>IF(A155="","",'Benefits Master'!D155)</x:f>
      </x:c>
      <x:c r="D155" t="str">
        <x:f>IF(A155="","",'Benefits Master'!E155)</x:f>
      </x:c>
      <x:c r="E155" t="str">
        <x:f>IF(A155="","",'Benefits Master'!J155)</x:f>
      </x:c>
      <x:c r="F155" t="str">
        <x:f>IF(A155="","",'Benefits Master'!K155)</x:f>
      </x:c>
      <x:c r="G155" t="str">
        <x:f>IF(A155="","",IF(F155="Jan-Jun",YEAR(TODAY())&amp;"-H1",IF(F155="Jul-Dec",YEAR(TODAY())&amp;"-H2",IF(E155="Monthly",TEXT(TODAY(),"yyyy-mm"),IF(E155="Quarterly",YEAR(TODAY())&amp;"-Q"&amp;ROUNDUP(MONTH(TODAY())/3,0),IF(E155="Semiannual",IF(MONTH(TODAY())&lt;=6,YEAR(TODAY())&amp;"-H1",YEAR(TODAY())&amp;"-H2"),IF(E155="Annual",YEAR(TODAY()),IF(E155="One-time","One-time","Custom"))))))))</x:f>
      </x:c>
      <x:c r="H155" t="str">
        <x:f>IF(A155="","",IF('Benefits Master'!M155&lt;&gt;"",'Benefits Master'!M155,IF('Benefits Master'!L155="End of Month",EOMONTH(TODAY(),0),IF('Benefits Master'!L155="End of Quarter",EOMONTH(DATE(YEAR(TODAY()),ROUNDUP(MONTH(TODAY())/3,0)*3,1),0),IF('Benefits Master'!L155="June 30",DATE(YEAR(TODAY()),6,30),IF('Benefits Master'!L155="Dec 31",DATE(YEAR(TODAY()),12,31),IF('Benefits Master'!L155="Card Anniversary","Enter open date",IF('Benefits Master'!L155="Specific Date","Set specific date",DATE(YEAR(TODAY()),12,31)))))))))</x:f>
      </x:c>
      <x:c r="I155" t="str">
        <x:f>IF(A155="","",'Benefits Master'!H155)</x:f>
      </x:c>
      <x:c r="J155" t="str">
        <x:f>IF(A155="","",SUMIFS('Benefit Usage Log'!$H:$H,'Benefit Usage Log'!$E:$E,A155,'Benefit Usage Log'!$G:$G,G155))</x:f>
      </x:c>
      <x:c r="K155" t="str">
        <x:f>IF(A155="","",MAX(0,I155-J155))</x:f>
      </x:c>
      <x:c r="L155" t="str">
        <x:f>IF(A155="","",IF(I155=0,0,MIN(1,J155/I155)))</x:f>
      </x:c>
      <x:c r="M155" t="str">
        <x:f>IF(A155="","",IF(ISNUMBER(H155)=FALSE,"Review Terms",IF(J155&gt;=I155,"Used",IF(AND(J155&gt;0,J155&lt;I155,H155&lt;TODAY()),"Missed",IF(AND(J155=0,H155&lt;TODAY()),"Missed",IF(AND(I155-J155&gt;0,H155-TODAY()&lt;='Benefits Master'!N155),"Expiring Soon",IF(J155&gt;0,"Partially Used","Not Used")))))))</x:f>
      </x:c>
      <x:c r="N155" t="str">
        <x:f>IF(A155="","",IF(ISNUMBER(H155),H155-TODAY(),""))</x:f>
      </x:c>
      <x:c r="O155" t="str">
        <x:f>IF(A155="","",'Benefits Master'!P155)</x:f>
      </x:c>
      <x:c r="P155" t="str">
        <x:f>IF(A155="","",'Benefits Master'!Q155)</x:f>
      </x:c>
      <x:c r="Q155" t="str">
        <x:f>IF(A155="","",'Benefits Master'!S155)</x:f>
      </x:c>
    </x:row>
    <x:row r="156">
      <x:c r="A156" t="str">
        <x:f>IF('Benefits Master'!A156="","",'Benefits Master'!A156)</x:f>
      </x:c>
      <x:c r="B156" t="str">
        <x:f>IF(A156="","",'Benefits Master'!B156)</x:f>
      </x:c>
      <x:c r="C156" t="str">
        <x:f>IF(A156="","",'Benefits Master'!D156)</x:f>
      </x:c>
      <x:c r="D156" t="str">
        <x:f>IF(A156="","",'Benefits Master'!E156)</x:f>
      </x:c>
      <x:c r="E156" t="str">
        <x:f>IF(A156="","",'Benefits Master'!J156)</x:f>
      </x:c>
      <x:c r="F156" t="str">
        <x:f>IF(A156="","",'Benefits Master'!K156)</x:f>
      </x:c>
      <x:c r="G156" t="str">
        <x:f>IF(A156="","",IF(F156="Jan-Jun",YEAR(TODAY())&amp;"-H1",IF(F156="Jul-Dec",YEAR(TODAY())&amp;"-H2",IF(E156="Monthly",TEXT(TODAY(),"yyyy-mm"),IF(E156="Quarterly",YEAR(TODAY())&amp;"-Q"&amp;ROUNDUP(MONTH(TODAY())/3,0),IF(E156="Semiannual",IF(MONTH(TODAY())&lt;=6,YEAR(TODAY())&amp;"-H1",YEAR(TODAY())&amp;"-H2"),IF(E156="Annual",YEAR(TODAY()),IF(E156="One-time","One-time","Custom"))))))))</x:f>
      </x:c>
      <x:c r="H156" t="str">
        <x:f>IF(A156="","",IF('Benefits Master'!M156&lt;&gt;"",'Benefits Master'!M156,IF('Benefits Master'!L156="End of Month",EOMONTH(TODAY(),0),IF('Benefits Master'!L156="End of Quarter",EOMONTH(DATE(YEAR(TODAY()),ROUNDUP(MONTH(TODAY())/3,0)*3,1),0),IF('Benefits Master'!L156="June 30",DATE(YEAR(TODAY()),6,30),IF('Benefits Master'!L156="Dec 31",DATE(YEAR(TODAY()),12,31),IF('Benefits Master'!L156="Card Anniversary","Enter open date",IF('Benefits Master'!L156="Specific Date","Set specific date",DATE(YEAR(TODAY()),12,31)))))))))</x:f>
      </x:c>
      <x:c r="I156" t="str">
        <x:f>IF(A156="","",'Benefits Master'!H156)</x:f>
      </x:c>
      <x:c r="J156" t="str">
        <x:f>IF(A156="","",SUMIFS('Benefit Usage Log'!$H:$H,'Benefit Usage Log'!$E:$E,A156,'Benefit Usage Log'!$G:$G,G156))</x:f>
      </x:c>
      <x:c r="K156" t="str">
        <x:f>IF(A156="","",MAX(0,I156-J156))</x:f>
      </x:c>
      <x:c r="L156" t="str">
        <x:f>IF(A156="","",IF(I156=0,0,MIN(1,J156/I156)))</x:f>
      </x:c>
      <x:c r="M156" t="str">
        <x:f>IF(A156="","",IF(ISNUMBER(H156)=FALSE,"Review Terms",IF(J156&gt;=I156,"Used",IF(AND(J156&gt;0,J156&lt;I156,H156&lt;TODAY()),"Missed",IF(AND(J156=0,H156&lt;TODAY()),"Missed",IF(AND(I156-J156&gt;0,H156-TODAY()&lt;='Benefits Master'!N156),"Expiring Soon",IF(J156&gt;0,"Partially Used","Not Used")))))))</x:f>
      </x:c>
      <x:c r="N156" t="str">
        <x:f>IF(A156="","",IF(ISNUMBER(H156),H156-TODAY(),""))</x:f>
      </x:c>
      <x:c r="O156" t="str">
        <x:f>IF(A156="","",'Benefits Master'!P156)</x:f>
      </x:c>
      <x:c r="P156" t="str">
        <x:f>IF(A156="","",'Benefits Master'!Q156)</x:f>
      </x:c>
      <x:c r="Q156" t="str">
        <x:f>IF(A156="","",'Benefits Master'!S156)</x:f>
      </x:c>
    </x:row>
    <x:row r="157">
      <x:c r="A157" t="str">
        <x:f>IF('Benefits Master'!A157="","",'Benefits Master'!A157)</x:f>
      </x:c>
      <x:c r="B157" t="str">
        <x:f>IF(A157="","",'Benefits Master'!B157)</x:f>
      </x:c>
      <x:c r="C157" t="str">
        <x:f>IF(A157="","",'Benefits Master'!D157)</x:f>
      </x:c>
      <x:c r="D157" t="str">
        <x:f>IF(A157="","",'Benefits Master'!E157)</x:f>
      </x:c>
      <x:c r="E157" t="str">
        <x:f>IF(A157="","",'Benefits Master'!J157)</x:f>
      </x:c>
      <x:c r="F157" t="str">
        <x:f>IF(A157="","",'Benefits Master'!K157)</x:f>
      </x:c>
      <x:c r="G157" t="str">
        <x:f>IF(A157="","",IF(F157="Jan-Jun",YEAR(TODAY())&amp;"-H1",IF(F157="Jul-Dec",YEAR(TODAY())&amp;"-H2",IF(E157="Monthly",TEXT(TODAY(),"yyyy-mm"),IF(E157="Quarterly",YEAR(TODAY())&amp;"-Q"&amp;ROUNDUP(MONTH(TODAY())/3,0),IF(E157="Semiannual",IF(MONTH(TODAY())&lt;=6,YEAR(TODAY())&amp;"-H1",YEAR(TODAY())&amp;"-H2"),IF(E157="Annual",YEAR(TODAY()),IF(E157="One-time","One-time","Custom"))))))))</x:f>
      </x:c>
      <x:c r="H157" t="str">
        <x:f>IF(A157="","",IF('Benefits Master'!M157&lt;&gt;"",'Benefits Master'!M157,IF('Benefits Master'!L157="End of Month",EOMONTH(TODAY(),0),IF('Benefits Master'!L157="End of Quarter",EOMONTH(DATE(YEAR(TODAY()),ROUNDUP(MONTH(TODAY())/3,0)*3,1),0),IF('Benefits Master'!L157="June 30",DATE(YEAR(TODAY()),6,30),IF('Benefits Master'!L157="Dec 31",DATE(YEAR(TODAY()),12,31),IF('Benefits Master'!L157="Card Anniversary","Enter open date",IF('Benefits Master'!L157="Specific Date","Set specific date",DATE(YEAR(TODAY()),12,31)))))))))</x:f>
      </x:c>
      <x:c r="I157" t="str">
        <x:f>IF(A157="","",'Benefits Master'!H157)</x:f>
      </x:c>
      <x:c r="J157" t="str">
        <x:f>IF(A157="","",SUMIFS('Benefit Usage Log'!$H:$H,'Benefit Usage Log'!$E:$E,A157,'Benefit Usage Log'!$G:$G,G157))</x:f>
      </x:c>
      <x:c r="K157" t="str">
        <x:f>IF(A157="","",MAX(0,I157-J157))</x:f>
      </x:c>
      <x:c r="L157" t="str">
        <x:f>IF(A157="","",IF(I157=0,0,MIN(1,J157/I157)))</x:f>
      </x:c>
      <x:c r="M157" t="str">
        <x:f>IF(A157="","",IF(ISNUMBER(H157)=FALSE,"Review Terms",IF(J157&gt;=I157,"Used",IF(AND(J157&gt;0,J157&lt;I157,H157&lt;TODAY()),"Missed",IF(AND(J157=0,H157&lt;TODAY()),"Missed",IF(AND(I157-J157&gt;0,H157-TODAY()&lt;='Benefits Master'!N157),"Expiring Soon",IF(J157&gt;0,"Partially Used","Not Used")))))))</x:f>
      </x:c>
      <x:c r="N157" t="str">
        <x:f>IF(A157="","",IF(ISNUMBER(H157),H157-TODAY(),""))</x:f>
      </x:c>
      <x:c r="O157" t="str">
        <x:f>IF(A157="","",'Benefits Master'!P157)</x:f>
      </x:c>
      <x:c r="P157" t="str">
        <x:f>IF(A157="","",'Benefits Master'!Q157)</x:f>
      </x:c>
      <x:c r="Q157" t="str">
        <x:f>IF(A157="","",'Benefits Master'!S157)</x:f>
      </x:c>
    </x:row>
    <x:row r="158">
      <x:c r="A158" t="str">
        <x:f>IF('Benefits Master'!A158="","",'Benefits Master'!A158)</x:f>
      </x:c>
      <x:c r="B158" t="str">
        <x:f>IF(A158="","",'Benefits Master'!B158)</x:f>
      </x:c>
      <x:c r="C158" t="str">
        <x:f>IF(A158="","",'Benefits Master'!D158)</x:f>
      </x:c>
      <x:c r="D158" t="str">
        <x:f>IF(A158="","",'Benefits Master'!E158)</x:f>
      </x:c>
      <x:c r="E158" t="str">
        <x:f>IF(A158="","",'Benefits Master'!J158)</x:f>
      </x:c>
      <x:c r="F158" t="str">
        <x:f>IF(A158="","",'Benefits Master'!K158)</x:f>
      </x:c>
      <x:c r="G158" t="str">
        <x:f>IF(A158="","",IF(F158="Jan-Jun",YEAR(TODAY())&amp;"-H1",IF(F158="Jul-Dec",YEAR(TODAY())&amp;"-H2",IF(E158="Monthly",TEXT(TODAY(),"yyyy-mm"),IF(E158="Quarterly",YEAR(TODAY())&amp;"-Q"&amp;ROUNDUP(MONTH(TODAY())/3,0),IF(E158="Semiannual",IF(MONTH(TODAY())&lt;=6,YEAR(TODAY())&amp;"-H1",YEAR(TODAY())&amp;"-H2"),IF(E158="Annual",YEAR(TODAY()),IF(E158="One-time","One-time","Custom"))))))))</x:f>
      </x:c>
      <x:c r="H158" t="str">
        <x:f>IF(A158="","",IF('Benefits Master'!M158&lt;&gt;"",'Benefits Master'!M158,IF('Benefits Master'!L158="End of Month",EOMONTH(TODAY(),0),IF('Benefits Master'!L158="End of Quarter",EOMONTH(DATE(YEAR(TODAY()),ROUNDUP(MONTH(TODAY())/3,0)*3,1),0),IF('Benefits Master'!L158="June 30",DATE(YEAR(TODAY()),6,30),IF('Benefits Master'!L158="Dec 31",DATE(YEAR(TODAY()),12,31),IF('Benefits Master'!L158="Card Anniversary","Enter open date",IF('Benefits Master'!L158="Specific Date","Set specific date",DATE(YEAR(TODAY()),12,31)))))))))</x:f>
      </x:c>
      <x:c r="I158" t="str">
        <x:f>IF(A158="","",'Benefits Master'!H158)</x:f>
      </x:c>
      <x:c r="J158" t="str">
        <x:f>IF(A158="","",SUMIFS('Benefit Usage Log'!$H:$H,'Benefit Usage Log'!$E:$E,A158,'Benefit Usage Log'!$G:$G,G158))</x:f>
      </x:c>
      <x:c r="K158" t="str">
        <x:f>IF(A158="","",MAX(0,I158-J158))</x:f>
      </x:c>
      <x:c r="L158" t="str">
        <x:f>IF(A158="","",IF(I158=0,0,MIN(1,J158/I158)))</x:f>
      </x:c>
      <x:c r="M158" t="str">
        <x:f>IF(A158="","",IF(ISNUMBER(H158)=FALSE,"Review Terms",IF(J158&gt;=I158,"Used",IF(AND(J158&gt;0,J158&lt;I158,H158&lt;TODAY()),"Missed",IF(AND(J158=0,H158&lt;TODAY()),"Missed",IF(AND(I158-J158&gt;0,H158-TODAY()&lt;='Benefits Master'!N158),"Expiring Soon",IF(J158&gt;0,"Partially Used","Not Used")))))))</x:f>
      </x:c>
      <x:c r="N158" t="str">
        <x:f>IF(A158="","",IF(ISNUMBER(H158),H158-TODAY(),""))</x:f>
      </x:c>
      <x:c r="O158" t="str">
        <x:f>IF(A158="","",'Benefits Master'!P158)</x:f>
      </x:c>
      <x:c r="P158" t="str">
        <x:f>IF(A158="","",'Benefits Master'!Q158)</x:f>
      </x:c>
      <x:c r="Q158" t="str">
        <x:f>IF(A158="","",'Benefits Master'!S158)</x:f>
      </x:c>
    </x:row>
    <x:row r="159">
      <x:c r="A159" t="str">
        <x:f>IF('Benefits Master'!A159="","",'Benefits Master'!A159)</x:f>
      </x:c>
      <x:c r="B159" t="str">
        <x:f>IF(A159="","",'Benefits Master'!B159)</x:f>
      </x:c>
      <x:c r="C159" t="str">
        <x:f>IF(A159="","",'Benefits Master'!D159)</x:f>
      </x:c>
      <x:c r="D159" t="str">
        <x:f>IF(A159="","",'Benefits Master'!E159)</x:f>
      </x:c>
      <x:c r="E159" t="str">
        <x:f>IF(A159="","",'Benefits Master'!J159)</x:f>
      </x:c>
      <x:c r="F159" t="str">
        <x:f>IF(A159="","",'Benefits Master'!K159)</x:f>
      </x:c>
      <x:c r="G159" t="str">
        <x:f>IF(A159="","",IF(F159="Jan-Jun",YEAR(TODAY())&amp;"-H1",IF(F159="Jul-Dec",YEAR(TODAY())&amp;"-H2",IF(E159="Monthly",TEXT(TODAY(),"yyyy-mm"),IF(E159="Quarterly",YEAR(TODAY())&amp;"-Q"&amp;ROUNDUP(MONTH(TODAY())/3,0),IF(E159="Semiannual",IF(MONTH(TODAY())&lt;=6,YEAR(TODAY())&amp;"-H1",YEAR(TODAY())&amp;"-H2"),IF(E159="Annual",YEAR(TODAY()),IF(E159="One-time","One-time","Custom"))))))))</x:f>
      </x:c>
      <x:c r="H159" t="str">
        <x:f>IF(A159="","",IF('Benefits Master'!M159&lt;&gt;"",'Benefits Master'!M159,IF('Benefits Master'!L159="End of Month",EOMONTH(TODAY(),0),IF('Benefits Master'!L159="End of Quarter",EOMONTH(DATE(YEAR(TODAY()),ROUNDUP(MONTH(TODAY())/3,0)*3,1),0),IF('Benefits Master'!L159="June 30",DATE(YEAR(TODAY()),6,30),IF('Benefits Master'!L159="Dec 31",DATE(YEAR(TODAY()),12,31),IF('Benefits Master'!L159="Card Anniversary","Enter open date",IF('Benefits Master'!L159="Specific Date","Set specific date",DATE(YEAR(TODAY()),12,31)))))))))</x:f>
      </x:c>
      <x:c r="I159" t="str">
        <x:f>IF(A159="","",'Benefits Master'!H159)</x:f>
      </x:c>
      <x:c r="J159" t="str">
        <x:f>IF(A159="","",SUMIFS('Benefit Usage Log'!$H:$H,'Benefit Usage Log'!$E:$E,A159,'Benefit Usage Log'!$G:$G,G159))</x:f>
      </x:c>
      <x:c r="K159" t="str">
        <x:f>IF(A159="","",MAX(0,I159-J159))</x:f>
      </x:c>
      <x:c r="L159" t="str">
        <x:f>IF(A159="","",IF(I159=0,0,MIN(1,J159/I159)))</x:f>
      </x:c>
      <x:c r="M159" t="str">
        <x:f>IF(A159="","",IF(ISNUMBER(H159)=FALSE,"Review Terms",IF(J159&gt;=I159,"Used",IF(AND(J159&gt;0,J159&lt;I159,H159&lt;TODAY()),"Missed",IF(AND(J159=0,H159&lt;TODAY()),"Missed",IF(AND(I159-J159&gt;0,H159-TODAY()&lt;='Benefits Master'!N159),"Expiring Soon",IF(J159&gt;0,"Partially Used","Not Used")))))))</x:f>
      </x:c>
      <x:c r="N159" t="str">
        <x:f>IF(A159="","",IF(ISNUMBER(H159),H159-TODAY(),""))</x:f>
      </x:c>
      <x:c r="O159" t="str">
        <x:f>IF(A159="","",'Benefits Master'!P159)</x:f>
      </x:c>
      <x:c r="P159" t="str">
        <x:f>IF(A159="","",'Benefits Master'!Q159)</x:f>
      </x:c>
      <x:c r="Q159" t="str">
        <x:f>IF(A159="","",'Benefits Master'!S159)</x:f>
      </x:c>
    </x:row>
    <x:row r="160">
      <x:c r="A160" t="str">
        <x:f>IF('Benefits Master'!A160="","",'Benefits Master'!A160)</x:f>
      </x:c>
      <x:c r="B160" t="str">
        <x:f>IF(A160="","",'Benefits Master'!B160)</x:f>
      </x:c>
      <x:c r="C160" t="str">
        <x:f>IF(A160="","",'Benefits Master'!D160)</x:f>
      </x:c>
      <x:c r="D160" t="str">
        <x:f>IF(A160="","",'Benefits Master'!E160)</x:f>
      </x:c>
      <x:c r="E160" t="str">
        <x:f>IF(A160="","",'Benefits Master'!J160)</x:f>
      </x:c>
      <x:c r="F160" t="str">
        <x:f>IF(A160="","",'Benefits Master'!K160)</x:f>
      </x:c>
      <x:c r="G160" t="str">
        <x:f>IF(A160="","",IF(F160="Jan-Jun",YEAR(TODAY())&amp;"-H1",IF(F160="Jul-Dec",YEAR(TODAY())&amp;"-H2",IF(E160="Monthly",TEXT(TODAY(),"yyyy-mm"),IF(E160="Quarterly",YEAR(TODAY())&amp;"-Q"&amp;ROUNDUP(MONTH(TODAY())/3,0),IF(E160="Semiannual",IF(MONTH(TODAY())&lt;=6,YEAR(TODAY())&amp;"-H1",YEAR(TODAY())&amp;"-H2"),IF(E160="Annual",YEAR(TODAY()),IF(E160="One-time","One-time","Custom"))))))))</x:f>
      </x:c>
      <x:c r="H160" t="str">
        <x:f>IF(A160="","",IF('Benefits Master'!M160&lt;&gt;"",'Benefits Master'!M160,IF('Benefits Master'!L160="End of Month",EOMONTH(TODAY(),0),IF('Benefits Master'!L160="End of Quarter",EOMONTH(DATE(YEAR(TODAY()),ROUNDUP(MONTH(TODAY())/3,0)*3,1),0),IF('Benefits Master'!L160="June 30",DATE(YEAR(TODAY()),6,30),IF('Benefits Master'!L160="Dec 31",DATE(YEAR(TODAY()),12,31),IF('Benefits Master'!L160="Card Anniversary","Enter open date",IF('Benefits Master'!L160="Specific Date","Set specific date",DATE(YEAR(TODAY()),12,31)))))))))</x:f>
      </x:c>
      <x:c r="I160" t="str">
        <x:f>IF(A160="","",'Benefits Master'!H160)</x:f>
      </x:c>
      <x:c r="J160" t="str">
        <x:f>IF(A160="","",SUMIFS('Benefit Usage Log'!$H:$H,'Benefit Usage Log'!$E:$E,A160,'Benefit Usage Log'!$G:$G,G160))</x:f>
      </x:c>
      <x:c r="K160" t="str">
        <x:f>IF(A160="","",MAX(0,I160-J160))</x:f>
      </x:c>
      <x:c r="L160" t="str">
        <x:f>IF(A160="","",IF(I160=0,0,MIN(1,J160/I160)))</x:f>
      </x:c>
      <x:c r="M160" t="str">
        <x:f>IF(A160="","",IF(ISNUMBER(H160)=FALSE,"Review Terms",IF(J160&gt;=I160,"Used",IF(AND(J160&gt;0,J160&lt;I160,H160&lt;TODAY()),"Missed",IF(AND(J160=0,H160&lt;TODAY()),"Missed",IF(AND(I160-J160&gt;0,H160-TODAY()&lt;='Benefits Master'!N160),"Expiring Soon",IF(J160&gt;0,"Partially Used","Not Used")))))))</x:f>
      </x:c>
      <x:c r="N160" t="str">
        <x:f>IF(A160="","",IF(ISNUMBER(H160),H160-TODAY(),""))</x:f>
      </x:c>
      <x:c r="O160" t="str">
        <x:f>IF(A160="","",'Benefits Master'!P160)</x:f>
      </x:c>
      <x:c r="P160" t="str">
        <x:f>IF(A160="","",'Benefits Master'!Q160)</x:f>
      </x:c>
      <x:c r="Q160" t="str">
        <x:f>IF(A160="","",'Benefits Master'!S160)</x:f>
      </x:c>
    </x:row>
    <x:row r="161">
      <x:c r="A161" t="str">
        <x:f>IF('Benefits Master'!A161="","",'Benefits Master'!A161)</x:f>
      </x:c>
      <x:c r="B161" t="str">
        <x:f>IF(A161="","",'Benefits Master'!B161)</x:f>
      </x:c>
      <x:c r="C161" t="str">
        <x:f>IF(A161="","",'Benefits Master'!D161)</x:f>
      </x:c>
      <x:c r="D161" t="str">
        <x:f>IF(A161="","",'Benefits Master'!E161)</x:f>
      </x:c>
      <x:c r="E161" t="str">
        <x:f>IF(A161="","",'Benefits Master'!J161)</x:f>
      </x:c>
      <x:c r="F161" t="str">
        <x:f>IF(A161="","",'Benefits Master'!K161)</x:f>
      </x:c>
      <x:c r="G161" t="str">
        <x:f>IF(A161="","",IF(F161="Jan-Jun",YEAR(TODAY())&amp;"-H1",IF(F161="Jul-Dec",YEAR(TODAY())&amp;"-H2",IF(E161="Monthly",TEXT(TODAY(),"yyyy-mm"),IF(E161="Quarterly",YEAR(TODAY())&amp;"-Q"&amp;ROUNDUP(MONTH(TODAY())/3,0),IF(E161="Semiannual",IF(MONTH(TODAY())&lt;=6,YEAR(TODAY())&amp;"-H1",YEAR(TODAY())&amp;"-H2"),IF(E161="Annual",YEAR(TODAY()),IF(E161="One-time","One-time","Custom"))))))))</x:f>
      </x:c>
      <x:c r="H161" t="str">
        <x:f>IF(A161="","",IF('Benefits Master'!M161&lt;&gt;"",'Benefits Master'!M161,IF('Benefits Master'!L161="End of Month",EOMONTH(TODAY(),0),IF('Benefits Master'!L161="End of Quarter",EOMONTH(DATE(YEAR(TODAY()),ROUNDUP(MONTH(TODAY())/3,0)*3,1),0),IF('Benefits Master'!L161="June 30",DATE(YEAR(TODAY()),6,30),IF('Benefits Master'!L161="Dec 31",DATE(YEAR(TODAY()),12,31),IF('Benefits Master'!L161="Card Anniversary","Enter open date",IF('Benefits Master'!L161="Specific Date","Set specific date",DATE(YEAR(TODAY()),12,31)))))))))</x:f>
      </x:c>
      <x:c r="I161" t="str">
        <x:f>IF(A161="","",'Benefits Master'!H161)</x:f>
      </x:c>
      <x:c r="J161" t="str">
        <x:f>IF(A161="","",SUMIFS('Benefit Usage Log'!$H:$H,'Benefit Usage Log'!$E:$E,A161,'Benefit Usage Log'!$G:$G,G161))</x:f>
      </x:c>
      <x:c r="K161" t="str">
        <x:f>IF(A161="","",MAX(0,I161-J161))</x:f>
      </x:c>
      <x:c r="L161" t="str">
        <x:f>IF(A161="","",IF(I161=0,0,MIN(1,J161/I161)))</x:f>
      </x:c>
      <x:c r="M161" t="str">
        <x:f>IF(A161="","",IF(ISNUMBER(H161)=FALSE,"Review Terms",IF(J161&gt;=I161,"Used",IF(AND(J161&gt;0,J161&lt;I161,H161&lt;TODAY()),"Missed",IF(AND(J161=0,H161&lt;TODAY()),"Missed",IF(AND(I161-J161&gt;0,H161-TODAY()&lt;='Benefits Master'!N161),"Expiring Soon",IF(J161&gt;0,"Partially Used","Not Used")))))))</x:f>
      </x:c>
      <x:c r="N161" t="str">
        <x:f>IF(A161="","",IF(ISNUMBER(H161),H161-TODAY(),""))</x:f>
      </x:c>
      <x:c r="O161" t="str">
        <x:f>IF(A161="","",'Benefits Master'!P161)</x:f>
      </x:c>
      <x:c r="P161" t="str">
        <x:f>IF(A161="","",'Benefits Master'!Q161)</x:f>
      </x:c>
      <x:c r="Q161" t="str">
        <x:f>IF(A161="","",'Benefits Master'!S161)</x:f>
      </x:c>
    </x:row>
    <x:row r="162">
      <x:c r="A162" t="str">
        <x:f>IF('Benefits Master'!A162="","",'Benefits Master'!A162)</x:f>
      </x:c>
      <x:c r="B162" t="str">
        <x:f>IF(A162="","",'Benefits Master'!B162)</x:f>
      </x:c>
      <x:c r="C162" t="str">
        <x:f>IF(A162="","",'Benefits Master'!D162)</x:f>
      </x:c>
      <x:c r="D162" t="str">
        <x:f>IF(A162="","",'Benefits Master'!E162)</x:f>
      </x:c>
      <x:c r="E162" t="str">
        <x:f>IF(A162="","",'Benefits Master'!J162)</x:f>
      </x:c>
      <x:c r="F162" t="str">
        <x:f>IF(A162="","",'Benefits Master'!K162)</x:f>
      </x:c>
      <x:c r="G162" t="str">
        <x:f>IF(A162="","",IF(F162="Jan-Jun",YEAR(TODAY())&amp;"-H1",IF(F162="Jul-Dec",YEAR(TODAY())&amp;"-H2",IF(E162="Monthly",TEXT(TODAY(),"yyyy-mm"),IF(E162="Quarterly",YEAR(TODAY())&amp;"-Q"&amp;ROUNDUP(MONTH(TODAY())/3,0),IF(E162="Semiannual",IF(MONTH(TODAY())&lt;=6,YEAR(TODAY())&amp;"-H1",YEAR(TODAY())&amp;"-H2"),IF(E162="Annual",YEAR(TODAY()),IF(E162="One-time","One-time","Custom"))))))))</x:f>
      </x:c>
      <x:c r="H162" t="str">
        <x:f>IF(A162="","",IF('Benefits Master'!M162&lt;&gt;"",'Benefits Master'!M162,IF('Benefits Master'!L162="End of Month",EOMONTH(TODAY(),0),IF('Benefits Master'!L162="End of Quarter",EOMONTH(DATE(YEAR(TODAY()),ROUNDUP(MONTH(TODAY())/3,0)*3,1),0),IF('Benefits Master'!L162="June 30",DATE(YEAR(TODAY()),6,30),IF('Benefits Master'!L162="Dec 31",DATE(YEAR(TODAY()),12,31),IF('Benefits Master'!L162="Card Anniversary","Enter open date",IF('Benefits Master'!L162="Specific Date","Set specific date",DATE(YEAR(TODAY()),12,31)))))))))</x:f>
      </x:c>
      <x:c r="I162" t="str">
        <x:f>IF(A162="","",'Benefits Master'!H162)</x:f>
      </x:c>
      <x:c r="J162" t="str">
        <x:f>IF(A162="","",SUMIFS('Benefit Usage Log'!$H:$H,'Benefit Usage Log'!$E:$E,A162,'Benefit Usage Log'!$G:$G,G162))</x:f>
      </x:c>
      <x:c r="K162" t="str">
        <x:f>IF(A162="","",MAX(0,I162-J162))</x:f>
      </x:c>
      <x:c r="L162" t="str">
        <x:f>IF(A162="","",IF(I162=0,0,MIN(1,J162/I162)))</x:f>
      </x:c>
      <x:c r="M162" t="str">
        <x:f>IF(A162="","",IF(ISNUMBER(H162)=FALSE,"Review Terms",IF(J162&gt;=I162,"Used",IF(AND(J162&gt;0,J162&lt;I162,H162&lt;TODAY()),"Missed",IF(AND(J162=0,H162&lt;TODAY()),"Missed",IF(AND(I162-J162&gt;0,H162-TODAY()&lt;='Benefits Master'!N162),"Expiring Soon",IF(J162&gt;0,"Partially Used","Not Used")))))))</x:f>
      </x:c>
      <x:c r="N162" t="str">
        <x:f>IF(A162="","",IF(ISNUMBER(H162),H162-TODAY(),""))</x:f>
      </x:c>
      <x:c r="O162" t="str">
        <x:f>IF(A162="","",'Benefits Master'!P162)</x:f>
      </x:c>
      <x:c r="P162" t="str">
        <x:f>IF(A162="","",'Benefits Master'!Q162)</x:f>
      </x:c>
      <x:c r="Q162" t="str">
        <x:f>IF(A162="","",'Benefits Master'!S162)</x:f>
      </x:c>
    </x:row>
    <x:row r="163">
      <x:c r="A163" t="str">
        <x:f>IF('Benefits Master'!A163="","",'Benefits Master'!A163)</x:f>
      </x:c>
      <x:c r="B163" t="str">
        <x:f>IF(A163="","",'Benefits Master'!B163)</x:f>
      </x:c>
      <x:c r="C163" t="str">
        <x:f>IF(A163="","",'Benefits Master'!D163)</x:f>
      </x:c>
      <x:c r="D163" t="str">
        <x:f>IF(A163="","",'Benefits Master'!E163)</x:f>
      </x:c>
      <x:c r="E163" t="str">
        <x:f>IF(A163="","",'Benefits Master'!J163)</x:f>
      </x:c>
      <x:c r="F163" t="str">
        <x:f>IF(A163="","",'Benefits Master'!K163)</x:f>
      </x:c>
      <x:c r="G163" t="str">
        <x:f>IF(A163="","",IF(F163="Jan-Jun",YEAR(TODAY())&amp;"-H1",IF(F163="Jul-Dec",YEAR(TODAY())&amp;"-H2",IF(E163="Monthly",TEXT(TODAY(),"yyyy-mm"),IF(E163="Quarterly",YEAR(TODAY())&amp;"-Q"&amp;ROUNDUP(MONTH(TODAY())/3,0),IF(E163="Semiannual",IF(MONTH(TODAY())&lt;=6,YEAR(TODAY())&amp;"-H1",YEAR(TODAY())&amp;"-H2"),IF(E163="Annual",YEAR(TODAY()),IF(E163="One-time","One-time","Custom"))))))))</x:f>
      </x:c>
      <x:c r="H163" t="str">
        <x:f>IF(A163="","",IF('Benefits Master'!M163&lt;&gt;"",'Benefits Master'!M163,IF('Benefits Master'!L163="End of Month",EOMONTH(TODAY(),0),IF('Benefits Master'!L163="End of Quarter",EOMONTH(DATE(YEAR(TODAY()),ROUNDUP(MONTH(TODAY())/3,0)*3,1),0),IF('Benefits Master'!L163="June 30",DATE(YEAR(TODAY()),6,30),IF('Benefits Master'!L163="Dec 31",DATE(YEAR(TODAY()),12,31),IF('Benefits Master'!L163="Card Anniversary","Enter open date",IF('Benefits Master'!L163="Specific Date","Set specific date",DATE(YEAR(TODAY()),12,31)))))))))</x:f>
      </x:c>
      <x:c r="I163" t="str">
        <x:f>IF(A163="","",'Benefits Master'!H163)</x:f>
      </x:c>
      <x:c r="J163" t="str">
        <x:f>IF(A163="","",SUMIFS('Benefit Usage Log'!$H:$H,'Benefit Usage Log'!$E:$E,A163,'Benefit Usage Log'!$G:$G,G163))</x:f>
      </x:c>
      <x:c r="K163" t="str">
        <x:f>IF(A163="","",MAX(0,I163-J163))</x:f>
      </x:c>
      <x:c r="L163" t="str">
        <x:f>IF(A163="","",IF(I163=0,0,MIN(1,J163/I163)))</x:f>
      </x:c>
      <x:c r="M163" t="str">
        <x:f>IF(A163="","",IF(ISNUMBER(H163)=FALSE,"Review Terms",IF(J163&gt;=I163,"Used",IF(AND(J163&gt;0,J163&lt;I163,H163&lt;TODAY()),"Missed",IF(AND(J163=0,H163&lt;TODAY()),"Missed",IF(AND(I163-J163&gt;0,H163-TODAY()&lt;='Benefits Master'!N163),"Expiring Soon",IF(J163&gt;0,"Partially Used","Not Used")))))))</x:f>
      </x:c>
      <x:c r="N163" t="str">
        <x:f>IF(A163="","",IF(ISNUMBER(H163),H163-TODAY(),""))</x:f>
      </x:c>
      <x:c r="O163" t="str">
        <x:f>IF(A163="","",'Benefits Master'!P163)</x:f>
      </x:c>
      <x:c r="P163" t="str">
        <x:f>IF(A163="","",'Benefits Master'!Q163)</x:f>
      </x:c>
      <x:c r="Q163" t="str">
        <x:f>IF(A163="","",'Benefits Master'!S163)</x:f>
      </x:c>
    </x:row>
    <x:row r="164">
      <x:c r="A164" t="str">
        <x:f>IF('Benefits Master'!A164="","",'Benefits Master'!A164)</x:f>
      </x:c>
      <x:c r="B164" t="str">
        <x:f>IF(A164="","",'Benefits Master'!B164)</x:f>
      </x:c>
      <x:c r="C164" t="str">
        <x:f>IF(A164="","",'Benefits Master'!D164)</x:f>
      </x:c>
      <x:c r="D164" t="str">
        <x:f>IF(A164="","",'Benefits Master'!E164)</x:f>
      </x:c>
      <x:c r="E164" t="str">
        <x:f>IF(A164="","",'Benefits Master'!J164)</x:f>
      </x:c>
      <x:c r="F164" t="str">
        <x:f>IF(A164="","",'Benefits Master'!K164)</x:f>
      </x:c>
      <x:c r="G164" t="str">
        <x:f>IF(A164="","",IF(F164="Jan-Jun",YEAR(TODAY())&amp;"-H1",IF(F164="Jul-Dec",YEAR(TODAY())&amp;"-H2",IF(E164="Monthly",TEXT(TODAY(),"yyyy-mm"),IF(E164="Quarterly",YEAR(TODAY())&amp;"-Q"&amp;ROUNDUP(MONTH(TODAY())/3,0),IF(E164="Semiannual",IF(MONTH(TODAY())&lt;=6,YEAR(TODAY())&amp;"-H1",YEAR(TODAY())&amp;"-H2"),IF(E164="Annual",YEAR(TODAY()),IF(E164="One-time","One-time","Custom"))))))))</x:f>
      </x:c>
      <x:c r="H164" t="str">
        <x:f>IF(A164="","",IF('Benefits Master'!M164&lt;&gt;"",'Benefits Master'!M164,IF('Benefits Master'!L164="End of Month",EOMONTH(TODAY(),0),IF('Benefits Master'!L164="End of Quarter",EOMONTH(DATE(YEAR(TODAY()),ROUNDUP(MONTH(TODAY())/3,0)*3,1),0),IF('Benefits Master'!L164="June 30",DATE(YEAR(TODAY()),6,30),IF('Benefits Master'!L164="Dec 31",DATE(YEAR(TODAY()),12,31),IF('Benefits Master'!L164="Card Anniversary","Enter open date",IF('Benefits Master'!L164="Specific Date","Set specific date",DATE(YEAR(TODAY()),12,31)))))))))</x:f>
      </x:c>
      <x:c r="I164" t="str">
        <x:f>IF(A164="","",'Benefits Master'!H164)</x:f>
      </x:c>
      <x:c r="J164" t="str">
        <x:f>IF(A164="","",SUMIFS('Benefit Usage Log'!$H:$H,'Benefit Usage Log'!$E:$E,A164,'Benefit Usage Log'!$G:$G,G164))</x:f>
      </x:c>
      <x:c r="K164" t="str">
        <x:f>IF(A164="","",MAX(0,I164-J164))</x:f>
      </x:c>
      <x:c r="L164" t="str">
        <x:f>IF(A164="","",IF(I164=0,0,MIN(1,J164/I164)))</x:f>
      </x:c>
      <x:c r="M164" t="str">
        <x:f>IF(A164="","",IF(ISNUMBER(H164)=FALSE,"Review Terms",IF(J164&gt;=I164,"Used",IF(AND(J164&gt;0,J164&lt;I164,H164&lt;TODAY()),"Missed",IF(AND(J164=0,H164&lt;TODAY()),"Missed",IF(AND(I164-J164&gt;0,H164-TODAY()&lt;='Benefits Master'!N164),"Expiring Soon",IF(J164&gt;0,"Partially Used","Not Used")))))))</x:f>
      </x:c>
      <x:c r="N164" t="str">
        <x:f>IF(A164="","",IF(ISNUMBER(H164),H164-TODAY(),""))</x:f>
      </x:c>
      <x:c r="O164" t="str">
        <x:f>IF(A164="","",'Benefits Master'!P164)</x:f>
      </x:c>
      <x:c r="P164" t="str">
        <x:f>IF(A164="","",'Benefits Master'!Q164)</x:f>
      </x:c>
      <x:c r="Q164" t="str">
        <x:f>IF(A164="","",'Benefits Master'!S164)</x:f>
      </x:c>
    </x:row>
    <x:row r="165">
      <x:c r="A165" t="str">
        <x:f>IF('Benefits Master'!A165="","",'Benefits Master'!A165)</x:f>
      </x:c>
      <x:c r="B165" t="str">
        <x:f>IF(A165="","",'Benefits Master'!B165)</x:f>
      </x:c>
      <x:c r="C165" t="str">
        <x:f>IF(A165="","",'Benefits Master'!D165)</x:f>
      </x:c>
      <x:c r="D165" t="str">
        <x:f>IF(A165="","",'Benefits Master'!E165)</x:f>
      </x:c>
      <x:c r="E165" t="str">
        <x:f>IF(A165="","",'Benefits Master'!J165)</x:f>
      </x:c>
      <x:c r="F165" t="str">
        <x:f>IF(A165="","",'Benefits Master'!K165)</x:f>
      </x:c>
      <x:c r="G165" t="str">
        <x:f>IF(A165="","",IF(F165="Jan-Jun",YEAR(TODAY())&amp;"-H1",IF(F165="Jul-Dec",YEAR(TODAY())&amp;"-H2",IF(E165="Monthly",TEXT(TODAY(),"yyyy-mm"),IF(E165="Quarterly",YEAR(TODAY())&amp;"-Q"&amp;ROUNDUP(MONTH(TODAY())/3,0),IF(E165="Semiannual",IF(MONTH(TODAY())&lt;=6,YEAR(TODAY())&amp;"-H1",YEAR(TODAY())&amp;"-H2"),IF(E165="Annual",YEAR(TODAY()),IF(E165="One-time","One-time","Custom"))))))))</x:f>
      </x:c>
      <x:c r="H165" t="str">
        <x:f>IF(A165="","",IF('Benefits Master'!M165&lt;&gt;"",'Benefits Master'!M165,IF('Benefits Master'!L165="End of Month",EOMONTH(TODAY(),0),IF('Benefits Master'!L165="End of Quarter",EOMONTH(DATE(YEAR(TODAY()),ROUNDUP(MONTH(TODAY())/3,0)*3,1),0),IF('Benefits Master'!L165="June 30",DATE(YEAR(TODAY()),6,30),IF('Benefits Master'!L165="Dec 31",DATE(YEAR(TODAY()),12,31),IF('Benefits Master'!L165="Card Anniversary","Enter open date",IF('Benefits Master'!L165="Specific Date","Set specific date",DATE(YEAR(TODAY()),12,31)))))))))</x:f>
      </x:c>
      <x:c r="I165" t="str">
        <x:f>IF(A165="","",'Benefits Master'!H165)</x:f>
      </x:c>
      <x:c r="J165" t="str">
        <x:f>IF(A165="","",SUMIFS('Benefit Usage Log'!$H:$H,'Benefit Usage Log'!$E:$E,A165,'Benefit Usage Log'!$G:$G,G165))</x:f>
      </x:c>
      <x:c r="K165" t="str">
        <x:f>IF(A165="","",MAX(0,I165-J165))</x:f>
      </x:c>
      <x:c r="L165" t="str">
        <x:f>IF(A165="","",IF(I165=0,0,MIN(1,J165/I165)))</x:f>
      </x:c>
      <x:c r="M165" t="str">
        <x:f>IF(A165="","",IF(ISNUMBER(H165)=FALSE,"Review Terms",IF(J165&gt;=I165,"Used",IF(AND(J165&gt;0,J165&lt;I165,H165&lt;TODAY()),"Missed",IF(AND(J165=0,H165&lt;TODAY()),"Missed",IF(AND(I165-J165&gt;0,H165-TODAY()&lt;='Benefits Master'!N165),"Expiring Soon",IF(J165&gt;0,"Partially Used","Not Used")))))))</x:f>
      </x:c>
      <x:c r="N165" t="str">
        <x:f>IF(A165="","",IF(ISNUMBER(H165),H165-TODAY(),""))</x:f>
      </x:c>
      <x:c r="O165" t="str">
        <x:f>IF(A165="","",'Benefits Master'!P165)</x:f>
      </x:c>
      <x:c r="P165" t="str">
        <x:f>IF(A165="","",'Benefits Master'!Q165)</x:f>
      </x:c>
      <x:c r="Q165" t="str">
        <x:f>IF(A165="","",'Benefits Master'!S165)</x:f>
      </x:c>
    </x:row>
    <x:row r="166">
      <x:c r="A166" t="str">
        <x:f>IF('Benefits Master'!A166="","",'Benefits Master'!A166)</x:f>
      </x:c>
      <x:c r="B166" t="str">
        <x:f>IF(A166="","",'Benefits Master'!B166)</x:f>
      </x:c>
      <x:c r="C166" t="str">
        <x:f>IF(A166="","",'Benefits Master'!D166)</x:f>
      </x:c>
      <x:c r="D166" t="str">
        <x:f>IF(A166="","",'Benefits Master'!E166)</x:f>
      </x:c>
      <x:c r="E166" t="str">
        <x:f>IF(A166="","",'Benefits Master'!J166)</x:f>
      </x:c>
      <x:c r="F166" t="str">
        <x:f>IF(A166="","",'Benefits Master'!K166)</x:f>
      </x:c>
      <x:c r="G166" t="str">
        <x:f>IF(A166="","",IF(F166="Jan-Jun",YEAR(TODAY())&amp;"-H1",IF(F166="Jul-Dec",YEAR(TODAY())&amp;"-H2",IF(E166="Monthly",TEXT(TODAY(),"yyyy-mm"),IF(E166="Quarterly",YEAR(TODAY())&amp;"-Q"&amp;ROUNDUP(MONTH(TODAY())/3,0),IF(E166="Semiannual",IF(MONTH(TODAY())&lt;=6,YEAR(TODAY())&amp;"-H1",YEAR(TODAY())&amp;"-H2"),IF(E166="Annual",YEAR(TODAY()),IF(E166="One-time","One-time","Custom"))))))))</x:f>
      </x:c>
      <x:c r="H166" t="str">
        <x:f>IF(A166="","",IF('Benefits Master'!M166&lt;&gt;"",'Benefits Master'!M166,IF('Benefits Master'!L166="End of Month",EOMONTH(TODAY(),0),IF('Benefits Master'!L166="End of Quarter",EOMONTH(DATE(YEAR(TODAY()),ROUNDUP(MONTH(TODAY())/3,0)*3,1),0),IF('Benefits Master'!L166="June 30",DATE(YEAR(TODAY()),6,30),IF('Benefits Master'!L166="Dec 31",DATE(YEAR(TODAY()),12,31),IF('Benefits Master'!L166="Card Anniversary","Enter open date",IF('Benefits Master'!L166="Specific Date","Set specific date",DATE(YEAR(TODAY()),12,31)))))))))</x:f>
      </x:c>
      <x:c r="I166" t="str">
        <x:f>IF(A166="","",'Benefits Master'!H166)</x:f>
      </x:c>
      <x:c r="J166" t="str">
        <x:f>IF(A166="","",SUMIFS('Benefit Usage Log'!$H:$H,'Benefit Usage Log'!$E:$E,A166,'Benefit Usage Log'!$G:$G,G166))</x:f>
      </x:c>
      <x:c r="K166" t="str">
        <x:f>IF(A166="","",MAX(0,I166-J166))</x:f>
      </x:c>
      <x:c r="L166" t="str">
        <x:f>IF(A166="","",IF(I166=0,0,MIN(1,J166/I166)))</x:f>
      </x:c>
      <x:c r="M166" t="str">
        <x:f>IF(A166="","",IF(ISNUMBER(H166)=FALSE,"Review Terms",IF(J166&gt;=I166,"Used",IF(AND(J166&gt;0,J166&lt;I166,H166&lt;TODAY()),"Missed",IF(AND(J166=0,H166&lt;TODAY()),"Missed",IF(AND(I166-J166&gt;0,H166-TODAY()&lt;='Benefits Master'!N166),"Expiring Soon",IF(J166&gt;0,"Partially Used","Not Used")))))))</x:f>
      </x:c>
      <x:c r="N166" t="str">
        <x:f>IF(A166="","",IF(ISNUMBER(H166),H166-TODAY(),""))</x:f>
      </x:c>
      <x:c r="O166" t="str">
        <x:f>IF(A166="","",'Benefits Master'!P166)</x:f>
      </x:c>
      <x:c r="P166" t="str">
        <x:f>IF(A166="","",'Benefits Master'!Q166)</x:f>
      </x:c>
      <x:c r="Q166" t="str">
        <x:f>IF(A166="","",'Benefits Master'!S166)</x:f>
      </x:c>
    </x:row>
    <x:row r="167">
      <x:c r="A167" t="str">
        <x:f>IF('Benefits Master'!A167="","",'Benefits Master'!A167)</x:f>
      </x:c>
      <x:c r="B167" t="str">
        <x:f>IF(A167="","",'Benefits Master'!B167)</x:f>
      </x:c>
      <x:c r="C167" t="str">
        <x:f>IF(A167="","",'Benefits Master'!D167)</x:f>
      </x:c>
      <x:c r="D167" t="str">
        <x:f>IF(A167="","",'Benefits Master'!E167)</x:f>
      </x:c>
      <x:c r="E167" t="str">
        <x:f>IF(A167="","",'Benefits Master'!J167)</x:f>
      </x:c>
      <x:c r="F167" t="str">
        <x:f>IF(A167="","",'Benefits Master'!K167)</x:f>
      </x:c>
      <x:c r="G167" t="str">
        <x:f>IF(A167="","",IF(F167="Jan-Jun",YEAR(TODAY())&amp;"-H1",IF(F167="Jul-Dec",YEAR(TODAY())&amp;"-H2",IF(E167="Monthly",TEXT(TODAY(),"yyyy-mm"),IF(E167="Quarterly",YEAR(TODAY())&amp;"-Q"&amp;ROUNDUP(MONTH(TODAY())/3,0),IF(E167="Semiannual",IF(MONTH(TODAY())&lt;=6,YEAR(TODAY())&amp;"-H1",YEAR(TODAY())&amp;"-H2"),IF(E167="Annual",YEAR(TODAY()),IF(E167="One-time","One-time","Custom"))))))))</x:f>
      </x:c>
      <x:c r="H167" t="str">
        <x:f>IF(A167="","",IF('Benefits Master'!M167&lt;&gt;"",'Benefits Master'!M167,IF('Benefits Master'!L167="End of Month",EOMONTH(TODAY(),0),IF('Benefits Master'!L167="End of Quarter",EOMONTH(DATE(YEAR(TODAY()),ROUNDUP(MONTH(TODAY())/3,0)*3,1),0),IF('Benefits Master'!L167="June 30",DATE(YEAR(TODAY()),6,30),IF('Benefits Master'!L167="Dec 31",DATE(YEAR(TODAY()),12,31),IF('Benefits Master'!L167="Card Anniversary","Enter open date",IF('Benefits Master'!L167="Specific Date","Set specific date",DATE(YEAR(TODAY()),12,31)))))))))</x:f>
      </x:c>
      <x:c r="I167" t="str">
        <x:f>IF(A167="","",'Benefits Master'!H167)</x:f>
      </x:c>
      <x:c r="J167" t="str">
        <x:f>IF(A167="","",SUMIFS('Benefit Usage Log'!$H:$H,'Benefit Usage Log'!$E:$E,A167,'Benefit Usage Log'!$G:$G,G167))</x:f>
      </x:c>
      <x:c r="K167" t="str">
        <x:f>IF(A167="","",MAX(0,I167-J167))</x:f>
      </x:c>
      <x:c r="L167" t="str">
        <x:f>IF(A167="","",IF(I167=0,0,MIN(1,J167/I167)))</x:f>
      </x:c>
      <x:c r="M167" t="str">
        <x:f>IF(A167="","",IF(ISNUMBER(H167)=FALSE,"Review Terms",IF(J167&gt;=I167,"Used",IF(AND(J167&gt;0,J167&lt;I167,H167&lt;TODAY()),"Missed",IF(AND(J167=0,H167&lt;TODAY()),"Missed",IF(AND(I167-J167&gt;0,H167-TODAY()&lt;='Benefits Master'!N167),"Expiring Soon",IF(J167&gt;0,"Partially Used","Not Used")))))))</x:f>
      </x:c>
      <x:c r="N167" t="str">
        <x:f>IF(A167="","",IF(ISNUMBER(H167),H167-TODAY(),""))</x:f>
      </x:c>
      <x:c r="O167" t="str">
        <x:f>IF(A167="","",'Benefits Master'!P167)</x:f>
      </x:c>
      <x:c r="P167" t="str">
        <x:f>IF(A167="","",'Benefits Master'!Q167)</x:f>
      </x:c>
      <x:c r="Q167" t="str">
        <x:f>IF(A167="","",'Benefits Master'!S167)</x:f>
      </x:c>
    </x:row>
    <x:row r="168">
      <x:c r="A168" t="str">
        <x:f>IF('Benefits Master'!A168="","",'Benefits Master'!A168)</x:f>
      </x:c>
      <x:c r="B168" t="str">
        <x:f>IF(A168="","",'Benefits Master'!B168)</x:f>
      </x:c>
      <x:c r="C168" t="str">
        <x:f>IF(A168="","",'Benefits Master'!D168)</x:f>
      </x:c>
      <x:c r="D168" t="str">
        <x:f>IF(A168="","",'Benefits Master'!E168)</x:f>
      </x:c>
      <x:c r="E168" t="str">
        <x:f>IF(A168="","",'Benefits Master'!J168)</x:f>
      </x:c>
      <x:c r="F168" t="str">
        <x:f>IF(A168="","",'Benefits Master'!K168)</x:f>
      </x:c>
      <x:c r="G168" t="str">
        <x:f>IF(A168="","",IF(F168="Jan-Jun",YEAR(TODAY())&amp;"-H1",IF(F168="Jul-Dec",YEAR(TODAY())&amp;"-H2",IF(E168="Monthly",TEXT(TODAY(),"yyyy-mm"),IF(E168="Quarterly",YEAR(TODAY())&amp;"-Q"&amp;ROUNDUP(MONTH(TODAY())/3,0),IF(E168="Semiannual",IF(MONTH(TODAY())&lt;=6,YEAR(TODAY())&amp;"-H1",YEAR(TODAY())&amp;"-H2"),IF(E168="Annual",YEAR(TODAY()),IF(E168="One-time","One-time","Custom"))))))))</x:f>
      </x:c>
      <x:c r="H168" t="str">
        <x:f>IF(A168="","",IF('Benefits Master'!M168&lt;&gt;"",'Benefits Master'!M168,IF('Benefits Master'!L168="End of Month",EOMONTH(TODAY(),0),IF('Benefits Master'!L168="End of Quarter",EOMONTH(DATE(YEAR(TODAY()),ROUNDUP(MONTH(TODAY())/3,0)*3,1),0),IF('Benefits Master'!L168="June 30",DATE(YEAR(TODAY()),6,30),IF('Benefits Master'!L168="Dec 31",DATE(YEAR(TODAY()),12,31),IF('Benefits Master'!L168="Card Anniversary","Enter open date",IF('Benefits Master'!L168="Specific Date","Set specific date",DATE(YEAR(TODAY()),12,31)))))))))</x:f>
      </x:c>
      <x:c r="I168" t="str">
        <x:f>IF(A168="","",'Benefits Master'!H168)</x:f>
      </x:c>
      <x:c r="J168" t="str">
        <x:f>IF(A168="","",SUMIFS('Benefit Usage Log'!$H:$H,'Benefit Usage Log'!$E:$E,A168,'Benefit Usage Log'!$G:$G,G168))</x:f>
      </x:c>
      <x:c r="K168" t="str">
        <x:f>IF(A168="","",MAX(0,I168-J168))</x:f>
      </x:c>
      <x:c r="L168" t="str">
        <x:f>IF(A168="","",IF(I168=0,0,MIN(1,J168/I168)))</x:f>
      </x:c>
      <x:c r="M168" t="str">
        <x:f>IF(A168="","",IF(ISNUMBER(H168)=FALSE,"Review Terms",IF(J168&gt;=I168,"Used",IF(AND(J168&gt;0,J168&lt;I168,H168&lt;TODAY()),"Missed",IF(AND(J168=0,H168&lt;TODAY()),"Missed",IF(AND(I168-J168&gt;0,H168-TODAY()&lt;='Benefits Master'!N168),"Expiring Soon",IF(J168&gt;0,"Partially Used","Not Used")))))))</x:f>
      </x:c>
      <x:c r="N168" t="str">
        <x:f>IF(A168="","",IF(ISNUMBER(H168),H168-TODAY(),""))</x:f>
      </x:c>
      <x:c r="O168" t="str">
        <x:f>IF(A168="","",'Benefits Master'!P168)</x:f>
      </x:c>
      <x:c r="P168" t="str">
        <x:f>IF(A168="","",'Benefits Master'!Q168)</x:f>
      </x:c>
      <x:c r="Q168" t="str">
        <x:f>IF(A168="","",'Benefits Master'!S168)</x:f>
      </x:c>
    </x:row>
    <x:row r="169">
      <x:c r="A169" t="str">
        <x:f>IF('Benefits Master'!A169="","",'Benefits Master'!A169)</x:f>
      </x:c>
      <x:c r="B169" t="str">
        <x:f>IF(A169="","",'Benefits Master'!B169)</x:f>
      </x:c>
      <x:c r="C169" t="str">
        <x:f>IF(A169="","",'Benefits Master'!D169)</x:f>
      </x:c>
      <x:c r="D169" t="str">
        <x:f>IF(A169="","",'Benefits Master'!E169)</x:f>
      </x:c>
      <x:c r="E169" t="str">
        <x:f>IF(A169="","",'Benefits Master'!J169)</x:f>
      </x:c>
      <x:c r="F169" t="str">
        <x:f>IF(A169="","",'Benefits Master'!K169)</x:f>
      </x:c>
      <x:c r="G169" t="str">
        <x:f>IF(A169="","",IF(F169="Jan-Jun",YEAR(TODAY())&amp;"-H1",IF(F169="Jul-Dec",YEAR(TODAY())&amp;"-H2",IF(E169="Monthly",TEXT(TODAY(),"yyyy-mm"),IF(E169="Quarterly",YEAR(TODAY())&amp;"-Q"&amp;ROUNDUP(MONTH(TODAY())/3,0),IF(E169="Semiannual",IF(MONTH(TODAY())&lt;=6,YEAR(TODAY())&amp;"-H1",YEAR(TODAY())&amp;"-H2"),IF(E169="Annual",YEAR(TODAY()),IF(E169="One-time","One-time","Custom"))))))))</x:f>
      </x:c>
      <x:c r="H169" t="str">
        <x:f>IF(A169="","",IF('Benefits Master'!M169&lt;&gt;"",'Benefits Master'!M169,IF('Benefits Master'!L169="End of Month",EOMONTH(TODAY(),0),IF('Benefits Master'!L169="End of Quarter",EOMONTH(DATE(YEAR(TODAY()),ROUNDUP(MONTH(TODAY())/3,0)*3,1),0),IF('Benefits Master'!L169="June 30",DATE(YEAR(TODAY()),6,30),IF('Benefits Master'!L169="Dec 31",DATE(YEAR(TODAY()),12,31),IF('Benefits Master'!L169="Card Anniversary","Enter open date",IF('Benefits Master'!L169="Specific Date","Set specific date",DATE(YEAR(TODAY()),12,31)))))))))</x:f>
      </x:c>
      <x:c r="I169" t="str">
        <x:f>IF(A169="","",'Benefits Master'!H169)</x:f>
      </x:c>
      <x:c r="J169" t="str">
        <x:f>IF(A169="","",SUMIFS('Benefit Usage Log'!$H:$H,'Benefit Usage Log'!$E:$E,A169,'Benefit Usage Log'!$G:$G,G169))</x:f>
      </x:c>
      <x:c r="K169" t="str">
        <x:f>IF(A169="","",MAX(0,I169-J169))</x:f>
      </x:c>
      <x:c r="L169" t="str">
        <x:f>IF(A169="","",IF(I169=0,0,MIN(1,J169/I169)))</x:f>
      </x:c>
      <x:c r="M169" t="str">
        <x:f>IF(A169="","",IF(ISNUMBER(H169)=FALSE,"Review Terms",IF(J169&gt;=I169,"Used",IF(AND(J169&gt;0,J169&lt;I169,H169&lt;TODAY()),"Missed",IF(AND(J169=0,H169&lt;TODAY()),"Missed",IF(AND(I169-J169&gt;0,H169-TODAY()&lt;='Benefits Master'!N169),"Expiring Soon",IF(J169&gt;0,"Partially Used","Not Used")))))))</x:f>
      </x:c>
      <x:c r="N169" t="str">
        <x:f>IF(A169="","",IF(ISNUMBER(H169),H169-TODAY(),""))</x:f>
      </x:c>
      <x:c r="O169" t="str">
        <x:f>IF(A169="","",'Benefits Master'!P169)</x:f>
      </x:c>
      <x:c r="P169" t="str">
        <x:f>IF(A169="","",'Benefits Master'!Q169)</x:f>
      </x:c>
      <x:c r="Q169" t="str">
        <x:f>IF(A169="","",'Benefits Master'!S169)</x:f>
      </x:c>
    </x:row>
    <x:row r="170">
      <x:c r="A170" t="str">
        <x:f>IF('Benefits Master'!A170="","",'Benefits Master'!A170)</x:f>
      </x:c>
      <x:c r="B170" t="str">
        <x:f>IF(A170="","",'Benefits Master'!B170)</x:f>
      </x:c>
      <x:c r="C170" t="str">
        <x:f>IF(A170="","",'Benefits Master'!D170)</x:f>
      </x:c>
      <x:c r="D170" t="str">
        <x:f>IF(A170="","",'Benefits Master'!E170)</x:f>
      </x:c>
      <x:c r="E170" t="str">
        <x:f>IF(A170="","",'Benefits Master'!J170)</x:f>
      </x:c>
      <x:c r="F170" t="str">
        <x:f>IF(A170="","",'Benefits Master'!K170)</x:f>
      </x:c>
      <x:c r="G170" t="str">
        <x:f>IF(A170="","",IF(F170="Jan-Jun",YEAR(TODAY())&amp;"-H1",IF(F170="Jul-Dec",YEAR(TODAY())&amp;"-H2",IF(E170="Monthly",TEXT(TODAY(),"yyyy-mm"),IF(E170="Quarterly",YEAR(TODAY())&amp;"-Q"&amp;ROUNDUP(MONTH(TODAY())/3,0),IF(E170="Semiannual",IF(MONTH(TODAY())&lt;=6,YEAR(TODAY())&amp;"-H1",YEAR(TODAY())&amp;"-H2"),IF(E170="Annual",YEAR(TODAY()),IF(E170="One-time","One-time","Custom"))))))))</x:f>
      </x:c>
      <x:c r="H170" t="str">
        <x:f>IF(A170="","",IF('Benefits Master'!M170&lt;&gt;"",'Benefits Master'!M170,IF('Benefits Master'!L170="End of Month",EOMONTH(TODAY(),0),IF('Benefits Master'!L170="End of Quarter",EOMONTH(DATE(YEAR(TODAY()),ROUNDUP(MONTH(TODAY())/3,0)*3,1),0),IF('Benefits Master'!L170="June 30",DATE(YEAR(TODAY()),6,30),IF('Benefits Master'!L170="Dec 31",DATE(YEAR(TODAY()),12,31),IF('Benefits Master'!L170="Card Anniversary","Enter open date",IF('Benefits Master'!L170="Specific Date","Set specific date",DATE(YEAR(TODAY()),12,31)))))))))</x:f>
      </x:c>
      <x:c r="I170" t="str">
        <x:f>IF(A170="","",'Benefits Master'!H170)</x:f>
      </x:c>
      <x:c r="J170" t="str">
        <x:f>IF(A170="","",SUMIFS('Benefit Usage Log'!$H:$H,'Benefit Usage Log'!$E:$E,A170,'Benefit Usage Log'!$G:$G,G170))</x:f>
      </x:c>
      <x:c r="K170" t="str">
        <x:f>IF(A170="","",MAX(0,I170-J170))</x:f>
      </x:c>
      <x:c r="L170" t="str">
        <x:f>IF(A170="","",IF(I170=0,0,MIN(1,J170/I170)))</x:f>
      </x:c>
      <x:c r="M170" t="str">
        <x:f>IF(A170="","",IF(ISNUMBER(H170)=FALSE,"Review Terms",IF(J170&gt;=I170,"Used",IF(AND(J170&gt;0,J170&lt;I170,H170&lt;TODAY()),"Missed",IF(AND(J170=0,H170&lt;TODAY()),"Missed",IF(AND(I170-J170&gt;0,H170-TODAY()&lt;='Benefits Master'!N170),"Expiring Soon",IF(J170&gt;0,"Partially Used","Not Used")))))))</x:f>
      </x:c>
      <x:c r="N170" t="str">
        <x:f>IF(A170="","",IF(ISNUMBER(H170),H170-TODAY(),""))</x:f>
      </x:c>
      <x:c r="O170" t="str">
        <x:f>IF(A170="","",'Benefits Master'!P170)</x:f>
      </x:c>
      <x:c r="P170" t="str">
        <x:f>IF(A170="","",'Benefits Master'!Q170)</x:f>
      </x:c>
      <x:c r="Q170" t="str">
        <x:f>IF(A170="","",'Benefits Master'!S170)</x:f>
      </x:c>
    </x:row>
    <x:row r="171">
      <x:c r="A171" t="str">
        <x:f>IF('Benefits Master'!A171="","",'Benefits Master'!A171)</x:f>
      </x:c>
      <x:c r="B171" t="str">
        <x:f>IF(A171="","",'Benefits Master'!B171)</x:f>
      </x:c>
      <x:c r="C171" t="str">
        <x:f>IF(A171="","",'Benefits Master'!D171)</x:f>
      </x:c>
      <x:c r="D171" t="str">
        <x:f>IF(A171="","",'Benefits Master'!E171)</x:f>
      </x:c>
      <x:c r="E171" t="str">
        <x:f>IF(A171="","",'Benefits Master'!J171)</x:f>
      </x:c>
      <x:c r="F171" t="str">
        <x:f>IF(A171="","",'Benefits Master'!K171)</x:f>
      </x:c>
      <x:c r="G171" t="str">
        <x:f>IF(A171="","",IF(F171="Jan-Jun",YEAR(TODAY())&amp;"-H1",IF(F171="Jul-Dec",YEAR(TODAY())&amp;"-H2",IF(E171="Monthly",TEXT(TODAY(),"yyyy-mm"),IF(E171="Quarterly",YEAR(TODAY())&amp;"-Q"&amp;ROUNDUP(MONTH(TODAY())/3,0),IF(E171="Semiannual",IF(MONTH(TODAY())&lt;=6,YEAR(TODAY())&amp;"-H1",YEAR(TODAY())&amp;"-H2"),IF(E171="Annual",YEAR(TODAY()),IF(E171="One-time","One-time","Custom"))))))))</x:f>
      </x:c>
      <x:c r="H171" t="str">
        <x:f>IF(A171="","",IF('Benefits Master'!M171&lt;&gt;"",'Benefits Master'!M171,IF('Benefits Master'!L171="End of Month",EOMONTH(TODAY(),0),IF('Benefits Master'!L171="End of Quarter",EOMONTH(DATE(YEAR(TODAY()),ROUNDUP(MONTH(TODAY())/3,0)*3,1),0),IF('Benefits Master'!L171="June 30",DATE(YEAR(TODAY()),6,30),IF('Benefits Master'!L171="Dec 31",DATE(YEAR(TODAY()),12,31),IF('Benefits Master'!L171="Card Anniversary","Enter open date",IF('Benefits Master'!L171="Specific Date","Set specific date",DATE(YEAR(TODAY()),12,31)))))))))</x:f>
      </x:c>
      <x:c r="I171" t="str">
        <x:f>IF(A171="","",'Benefits Master'!H171)</x:f>
      </x:c>
      <x:c r="J171" t="str">
        <x:f>IF(A171="","",SUMIFS('Benefit Usage Log'!$H:$H,'Benefit Usage Log'!$E:$E,A171,'Benefit Usage Log'!$G:$G,G171))</x:f>
      </x:c>
      <x:c r="K171" t="str">
        <x:f>IF(A171="","",MAX(0,I171-J171))</x:f>
      </x:c>
      <x:c r="L171" t="str">
        <x:f>IF(A171="","",IF(I171=0,0,MIN(1,J171/I171)))</x:f>
      </x:c>
      <x:c r="M171" t="str">
        <x:f>IF(A171="","",IF(ISNUMBER(H171)=FALSE,"Review Terms",IF(J171&gt;=I171,"Used",IF(AND(J171&gt;0,J171&lt;I171,H171&lt;TODAY()),"Missed",IF(AND(J171=0,H171&lt;TODAY()),"Missed",IF(AND(I171-J171&gt;0,H171-TODAY()&lt;='Benefits Master'!N171),"Expiring Soon",IF(J171&gt;0,"Partially Used","Not Used")))))))</x:f>
      </x:c>
      <x:c r="N171" t="str">
        <x:f>IF(A171="","",IF(ISNUMBER(H171),H171-TODAY(),""))</x:f>
      </x:c>
      <x:c r="O171" t="str">
        <x:f>IF(A171="","",'Benefits Master'!P171)</x:f>
      </x:c>
      <x:c r="P171" t="str">
        <x:f>IF(A171="","",'Benefits Master'!Q171)</x:f>
      </x:c>
      <x:c r="Q171" t="str">
        <x:f>IF(A171="","",'Benefits Master'!S171)</x:f>
      </x:c>
    </x:row>
    <x:row r="172">
      <x:c r="A172" t="str">
        <x:f>IF('Benefits Master'!A172="","",'Benefits Master'!A172)</x:f>
      </x:c>
      <x:c r="B172" t="str">
        <x:f>IF(A172="","",'Benefits Master'!B172)</x:f>
      </x:c>
      <x:c r="C172" t="str">
        <x:f>IF(A172="","",'Benefits Master'!D172)</x:f>
      </x:c>
      <x:c r="D172" t="str">
        <x:f>IF(A172="","",'Benefits Master'!E172)</x:f>
      </x:c>
      <x:c r="E172" t="str">
        <x:f>IF(A172="","",'Benefits Master'!J172)</x:f>
      </x:c>
      <x:c r="F172" t="str">
        <x:f>IF(A172="","",'Benefits Master'!K172)</x:f>
      </x:c>
      <x:c r="G172" t="str">
        <x:f>IF(A172="","",IF(F172="Jan-Jun",YEAR(TODAY())&amp;"-H1",IF(F172="Jul-Dec",YEAR(TODAY())&amp;"-H2",IF(E172="Monthly",TEXT(TODAY(),"yyyy-mm"),IF(E172="Quarterly",YEAR(TODAY())&amp;"-Q"&amp;ROUNDUP(MONTH(TODAY())/3,0),IF(E172="Semiannual",IF(MONTH(TODAY())&lt;=6,YEAR(TODAY())&amp;"-H1",YEAR(TODAY())&amp;"-H2"),IF(E172="Annual",YEAR(TODAY()),IF(E172="One-time","One-time","Custom"))))))))</x:f>
      </x:c>
      <x:c r="H172" t="str">
        <x:f>IF(A172="","",IF('Benefits Master'!M172&lt;&gt;"",'Benefits Master'!M172,IF('Benefits Master'!L172="End of Month",EOMONTH(TODAY(),0),IF('Benefits Master'!L172="End of Quarter",EOMONTH(DATE(YEAR(TODAY()),ROUNDUP(MONTH(TODAY())/3,0)*3,1),0),IF('Benefits Master'!L172="June 30",DATE(YEAR(TODAY()),6,30),IF('Benefits Master'!L172="Dec 31",DATE(YEAR(TODAY()),12,31),IF('Benefits Master'!L172="Card Anniversary","Enter open date",IF('Benefits Master'!L172="Specific Date","Set specific date",DATE(YEAR(TODAY()),12,31)))))))))</x:f>
      </x:c>
      <x:c r="I172" t="str">
        <x:f>IF(A172="","",'Benefits Master'!H172)</x:f>
      </x:c>
      <x:c r="J172" t="str">
        <x:f>IF(A172="","",SUMIFS('Benefit Usage Log'!$H:$H,'Benefit Usage Log'!$E:$E,A172,'Benefit Usage Log'!$G:$G,G172))</x:f>
      </x:c>
      <x:c r="K172" t="str">
        <x:f>IF(A172="","",MAX(0,I172-J172))</x:f>
      </x:c>
      <x:c r="L172" t="str">
        <x:f>IF(A172="","",IF(I172=0,0,MIN(1,J172/I172)))</x:f>
      </x:c>
      <x:c r="M172" t="str">
        <x:f>IF(A172="","",IF(ISNUMBER(H172)=FALSE,"Review Terms",IF(J172&gt;=I172,"Used",IF(AND(J172&gt;0,J172&lt;I172,H172&lt;TODAY()),"Missed",IF(AND(J172=0,H172&lt;TODAY()),"Missed",IF(AND(I172-J172&gt;0,H172-TODAY()&lt;='Benefits Master'!N172),"Expiring Soon",IF(J172&gt;0,"Partially Used","Not Used")))))))</x:f>
      </x:c>
      <x:c r="N172" t="str">
        <x:f>IF(A172="","",IF(ISNUMBER(H172),H172-TODAY(),""))</x:f>
      </x:c>
      <x:c r="O172" t="str">
        <x:f>IF(A172="","",'Benefits Master'!P172)</x:f>
      </x:c>
      <x:c r="P172" t="str">
        <x:f>IF(A172="","",'Benefits Master'!Q172)</x:f>
      </x:c>
      <x:c r="Q172" t="str">
        <x:f>IF(A172="","",'Benefits Master'!S172)</x:f>
      </x:c>
    </x:row>
    <x:row r="173">
      <x:c r="A173" t="str">
        <x:f>IF('Benefits Master'!A173="","",'Benefits Master'!A173)</x:f>
      </x:c>
      <x:c r="B173" t="str">
        <x:f>IF(A173="","",'Benefits Master'!B173)</x:f>
      </x:c>
      <x:c r="C173" t="str">
        <x:f>IF(A173="","",'Benefits Master'!D173)</x:f>
      </x:c>
      <x:c r="D173" t="str">
        <x:f>IF(A173="","",'Benefits Master'!E173)</x:f>
      </x:c>
      <x:c r="E173" t="str">
        <x:f>IF(A173="","",'Benefits Master'!J173)</x:f>
      </x:c>
      <x:c r="F173" t="str">
        <x:f>IF(A173="","",'Benefits Master'!K173)</x:f>
      </x:c>
      <x:c r="G173" t="str">
        <x:f>IF(A173="","",IF(F173="Jan-Jun",YEAR(TODAY())&amp;"-H1",IF(F173="Jul-Dec",YEAR(TODAY())&amp;"-H2",IF(E173="Monthly",TEXT(TODAY(),"yyyy-mm"),IF(E173="Quarterly",YEAR(TODAY())&amp;"-Q"&amp;ROUNDUP(MONTH(TODAY())/3,0),IF(E173="Semiannual",IF(MONTH(TODAY())&lt;=6,YEAR(TODAY())&amp;"-H1",YEAR(TODAY())&amp;"-H2"),IF(E173="Annual",YEAR(TODAY()),IF(E173="One-time","One-time","Custom"))))))))</x:f>
      </x:c>
      <x:c r="H173" t="str">
        <x:f>IF(A173="","",IF('Benefits Master'!M173&lt;&gt;"",'Benefits Master'!M173,IF('Benefits Master'!L173="End of Month",EOMONTH(TODAY(),0),IF('Benefits Master'!L173="End of Quarter",EOMONTH(DATE(YEAR(TODAY()),ROUNDUP(MONTH(TODAY())/3,0)*3,1),0),IF('Benefits Master'!L173="June 30",DATE(YEAR(TODAY()),6,30),IF('Benefits Master'!L173="Dec 31",DATE(YEAR(TODAY()),12,31),IF('Benefits Master'!L173="Card Anniversary","Enter open date",IF('Benefits Master'!L173="Specific Date","Set specific date",DATE(YEAR(TODAY()),12,31)))))))))</x:f>
      </x:c>
      <x:c r="I173" t="str">
        <x:f>IF(A173="","",'Benefits Master'!H173)</x:f>
      </x:c>
      <x:c r="J173" t="str">
        <x:f>IF(A173="","",SUMIFS('Benefit Usage Log'!$H:$H,'Benefit Usage Log'!$E:$E,A173,'Benefit Usage Log'!$G:$G,G173))</x:f>
      </x:c>
      <x:c r="K173" t="str">
        <x:f>IF(A173="","",MAX(0,I173-J173))</x:f>
      </x:c>
      <x:c r="L173" t="str">
        <x:f>IF(A173="","",IF(I173=0,0,MIN(1,J173/I173)))</x:f>
      </x:c>
      <x:c r="M173" t="str">
        <x:f>IF(A173="","",IF(ISNUMBER(H173)=FALSE,"Review Terms",IF(J173&gt;=I173,"Used",IF(AND(J173&gt;0,J173&lt;I173,H173&lt;TODAY()),"Missed",IF(AND(J173=0,H173&lt;TODAY()),"Missed",IF(AND(I173-J173&gt;0,H173-TODAY()&lt;='Benefits Master'!N173),"Expiring Soon",IF(J173&gt;0,"Partially Used","Not Used")))))))</x:f>
      </x:c>
      <x:c r="N173" t="str">
        <x:f>IF(A173="","",IF(ISNUMBER(H173),H173-TODAY(),""))</x:f>
      </x:c>
      <x:c r="O173" t="str">
        <x:f>IF(A173="","",'Benefits Master'!P173)</x:f>
      </x:c>
      <x:c r="P173" t="str">
        <x:f>IF(A173="","",'Benefits Master'!Q173)</x:f>
      </x:c>
      <x:c r="Q173" t="str">
        <x:f>IF(A173="","",'Benefits Master'!S173)</x:f>
      </x:c>
    </x:row>
    <x:row r="174">
      <x:c r="A174" t="str">
        <x:f>IF('Benefits Master'!A174="","",'Benefits Master'!A174)</x:f>
      </x:c>
      <x:c r="B174" t="str">
        <x:f>IF(A174="","",'Benefits Master'!B174)</x:f>
      </x:c>
      <x:c r="C174" t="str">
        <x:f>IF(A174="","",'Benefits Master'!D174)</x:f>
      </x:c>
      <x:c r="D174" t="str">
        <x:f>IF(A174="","",'Benefits Master'!E174)</x:f>
      </x:c>
      <x:c r="E174" t="str">
        <x:f>IF(A174="","",'Benefits Master'!J174)</x:f>
      </x:c>
      <x:c r="F174" t="str">
        <x:f>IF(A174="","",'Benefits Master'!K174)</x:f>
      </x:c>
      <x:c r="G174" t="str">
        <x:f>IF(A174="","",IF(F174="Jan-Jun",YEAR(TODAY())&amp;"-H1",IF(F174="Jul-Dec",YEAR(TODAY())&amp;"-H2",IF(E174="Monthly",TEXT(TODAY(),"yyyy-mm"),IF(E174="Quarterly",YEAR(TODAY())&amp;"-Q"&amp;ROUNDUP(MONTH(TODAY())/3,0),IF(E174="Semiannual",IF(MONTH(TODAY())&lt;=6,YEAR(TODAY())&amp;"-H1",YEAR(TODAY())&amp;"-H2"),IF(E174="Annual",YEAR(TODAY()),IF(E174="One-time","One-time","Custom"))))))))</x:f>
      </x:c>
      <x:c r="H174" t="str">
        <x:f>IF(A174="","",IF('Benefits Master'!M174&lt;&gt;"",'Benefits Master'!M174,IF('Benefits Master'!L174="End of Month",EOMONTH(TODAY(),0),IF('Benefits Master'!L174="End of Quarter",EOMONTH(DATE(YEAR(TODAY()),ROUNDUP(MONTH(TODAY())/3,0)*3,1),0),IF('Benefits Master'!L174="June 30",DATE(YEAR(TODAY()),6,30),IF('Benefits Master'!L174="Dec 31",DATE(YEAR(TODAY()),12,31),IF('Benefits Master'!L174="Card Anniversary","Enter open date",IF('Benefits Master'!L174="Specific Date","Set specific date",DATE(YEAR(TODAY()),12,31)))))))))</x:f>
      </x:c>
      <x:c r="I174" t="str">
        <x:f>IF(A174="","",'Benefits Master'!H174)</x:f>
      </x:c>
      <x:c r="J174" t="str">
        <x:f>IF(A174="","",SUMIFS('Benefit Usage Log'!$H:$H,'Benefit Usage Log'!$E:$E,A174,'Benefit Usage Log'!$G:$G,G174))</x:f>
      </x:c>
      <x:c r="K174" t="str">
        <x:f>IF(A174="","",MAX(0,I174-J174))</x:f>
      </x:c>
      <x:c r="L174" t="str">
        <x:f>IF(A174="","",IF(I174=0,0,MIN(1,J174/I174)))</x:f>
      </x:c>
      <x:c r="M174" t="str">
        <x:f>IF(A174="","",IF(ISNUMBER(H174)=FALSE,"Review Terms",IF(J174&gt;=I174,"Used",IF(AND(J174&gt;0,J174&lt;I174,H174&lt;TODAY()),"Missed",IF(AND(J174=0,H174&lt;TODAY()),"Missed",IF(AND(I174-J174&gt;0,H174-TODAY()&lt;='Benefits Master'!N174),"Expiring Soon",IF(J174&gt;0,"Partially Used","Not Used")))))))</x:f>
      </x:c>
      <x:c r="N174" t="str">
        <x:f>IF(A174="","",IF(ISNUMBER(H174),H174-TODAY(),""))</x:f>
      </x:c>
      <x:c r="O174" t="str">
        <x:f>IF(A174="","",'Benefits Master'!P174)</x:f>
      </x:c>
      <x:c r="P174" t="str">
        <x:f>IF(A174="","",'Benefits Master'!Q174)</x:f>
      </x:c>
      <x:c r="Q174" t="str">
        <x:f>IF(A174="","",'Benefits Master'!S174)</x:f>
      </x:c>
    </x:row>
    <x:row r="175">
      <x:c r="A175" t="str">
        <x:f>IF('Benefits Master'!A175="","",'Benefits Master'!A175)</x:f>
      </x:c>
      <x:c r="B175" t="str">
        <x:f>IF(A175="","",'Benefits Master'!B175)</x:f>
      </x:c>
      <x:c r="C175" t="str">
        <x:f>IF(A175="","",'Benefits Master'!D175)</x:f>
      </x:c>
      <x:c r="D175" t="str">
        <x:f>IF(A175="","",'Benefits Master'!E175)</x:f>
      </x:c>
      <x:c r="E175" t="str">
        <x:f>IF(A175="","",'Benefits Master'!J175)</x:f>
      </x:c>
      <x:c r="F175" t="str">
        <x:f>IF(A175="","",'Benefits Master'!K175)</x:f>
      </x:c>
      <x:c r="G175" t="str">
        <x:f>IF(A175="","",IF(F175="Jan-Jun",YEAR(TODAY())&amp;"-H1",IF(F175="Jul-Dec",YEAR(TODAY())&amp;"-H2",IF(E175="Monthly",TEXT(TODAY(),"yyyy-mm"),IF(E175="Quarterly",YEAR(TODAY())&amp;"-Q"&amp;ROUNDUP(MONTH(TODAY())/3,0),IF(E175="Semiannual",IF(MONTH(TODAY())&lt;=6,YEAR(TODAY())&amp;"-H1",YEAR(TODAY())&amp;"-H2"),IF(E175="Annual",YEAR(TODAY()),IF(E175="One-time","One-time","Custom"))))))))</x:f>
      </x:c>
      <x:c r="H175" t="str">
        <x:f>IF(A175="","",IF('Benefits Master'!M175&lt;&gt;"",'Benefits Master'!M175,IF('Benefits Master'!L175="End of Month",EOMONTH(TODAY(),0),IF('Benefits Master'!L175="End of Quarter",EOMONTH(DATE(YEAR(TODAY()),ROUNDUP(MONTH(TODAY())/3,0)*3,1),0),IF('Benefits Master'!L175="June 30",DATE(YEAR(TODAY()),6,30),IF('Benefits Master'!L175="Dec 31",DATE(YEAR(TODAY()),12,31),IF('Benefits Master'!L175="Card Anniversary","Enter open date",IF('Benefits Master'!L175="Specific Date","Set specific date",DATE(YEAR(TODAY()),12,31)))))))))</x:f>
      </x:c>
      <x:c r="I175" t="str">
        <x:f>IF(A175="","",'Benefits Master'!H175)</x:f>
      </x:c>
      <x:c r="J175" t="str">
        <x:f>IF(A175="","",SUMIFS('Benefit Usage Log'!$H:$H,'Benefit Usage Log'!$E:$E,A175,'Benefit Usage Log'!$G:$G,G175))</x:f>
      </x:c>
      <x:c r="K175" t="str">
        <x:f>IF(A175="","",MAX(0,I175-J175))</x:f>
      </x:c>
      <x:c r="L175" t="str">
        <x:f>IF(A175="","",IF(I175=0,0,MIN(1,J175/I175)))</x:f>
      </x:c>
      <x:c r="M175" t="str">
        <x:f>IF(A175="","",IF(ISNUMBER(H175)=FALSE,"Review Terms",IF(J175&gt;=I175,"Used",IF(AND(J175&gt;0,J175&lt;I175,H175&lt;TODAY()),"Missed",IF(AND(J175=0,H175&lt;TODAY()),"Missed",IF(AND(I175-J175&gt;0,H175-TODAY()&lt;='Benefits Master'!N175),"Expiring Soon",IF(J175&gt;0,"Partially Used","Not Used")))))))</x:f>
      </x:c>
      <x:c r="N175" t="str">
        <x:f>IF(A175="","",IF(ISNUMBER(H175),H175-TODAY(),""))</x:f>
      </x:c>
      <x:c r="O175" t="str">
        <x:f>IF(A175="","",'Benefits Master'!P175)</x:f>
      </x:c>
      <x:c r="P175" t="str">
        <x:f>IF(A175="","",'Benefits Master'!Q175)</x:f>
      </x:c>
      <x:c r="Q175" t="str">
        <x:f>IF(A175="","",'Benefits Master'!S175)</x:f>
      </x:c>
    </x:row>
    <x:row r="176">
      <x:c r="A176" t="str">
        <x:f>IF('Benefits Master'!A176="","",'Benefits Master'!A176)</x:f>
      </x:c>
      <x:c r="B176" t="str">
        <x:f>IF(A176="","",'Benefits Master'!B176)</x:f>
      </x:c>
      <x:c r="C176" t="str">
        <x:f>IF(A176="","",'Benefits Master'!D176)</x:f>
      </x:c>
      <x:c r="D176" t="str">
        <x:f>IF(A176="","",'Benefits Master'!E176)</x:f>
      </x:c>
      <x:c r="E176" t="str">
        <x:f>IF(A176="","",'Benefits Master'!J176)</x:f>
      </x:c>
      <x:c r="F176" t="str">
        <x:f>IF(A176="","",'Benefits Master'!K176)</x:f>
      </x:c>
      <x:c r="G176" t="str">
        <x:f>IF(A176="","",IF(F176="Jan-Jun",YEAR(TODAY())&amp;"-H1",IF(F176="Jul-Dec",YEAR(TODAY())&amp;"-H2",IF(E176="Monthly",TEXT(TODAY(),"yyyy-mm"),IF(E176="Quarterly",YEAR(TODAY())&amp;"-Q"&amp;ROUNDUP(MONTH(TODAY())/3,0),IF(E176="Semiannual",IF(MONTH(TODAY())&lt;=6,YEAR(TODAY())&amp;"-H1",YEAR(TODAY())&amp;"-H2"),IF(E176="Annual",YEAR(TODAY()),IF(E176="One-time","One-time","Custom"))))))))</x:f>
      </x:c>
      <x:c r="H176" t="str">
        <x:f>IF(A176="","",IF('Benefits Master'!M176&lt;&gt;"",'Benefits Master'!M176,IF('Benefits Master'!L176="End of Month",EOMONTH(TODAY(),0),IF('Benefits Master'!L176="End of Quarter",EOMONTH(DATE(YEAR(TODAY()),ROUNDUP(MONTH(TODAY())/3,0)*3,1),0),IF('Benefits Master'!L176="June 30",DATE(YEAR(TODAY()),6,30),IF('Benefits Master'!L176="Dec 31",DATE(YEAR(TODAY()),12,31),IF('Benefits Master'!L176="Card Anniversary","Enter open date",IF('Benefits Master'!L176="Specific Date","Set specific date",DATE(YEAR(TODAY()),12,31)))))))))</x:f>
      </x:c>
      <x:c r="I176" t="str">
        <x:f>IF(A176="","",'Benefits Master'!H176)</x:f>
      </x:c>
      <x:c r="J176" t="str">
        <x:f>IF(A176="","",SUMIFS('Benefit Usage Log'!$H:$H,'Benefit Usage Log'!$E:$E,A176,'Benefit Usage Log'!$G:$G,G176))</x:f>
      </x:c>
      <x:c r="K176" t="str">
        <x:f>IF(A176="","",MAX(0,I176-J176))</x:f>
      </x:c>
      <x:c r="L176" t="str">
        <x:f>IF(A176="","",IF(I176=0,0,MIN(1,J176/I176)))</x:f>
      </x:c>
      <x:c r="M176" t="str">
        <x:f>IF(A176="","",IF(ISNUMBER(H176)=FALSE,"Review Terms",IF(J176&gt;=I176,"Used",IF(AND(J176&gt;0,J176&lt;I176,H176&lt;TODAY()),"Missed",IF(AND(J176=0,H176&lt;TODAY()),"Missed",IF(AND(I176-J176&gt;0,H176-TODAY()&lt;='Benefits Master'!N176),"Expiring Soon",IF(J176&gt;0,"Partially Used","Not Used")))))))</x:f>
      </x:c>
      <x:c r="N176" t="str">
        <x:f>IF(A176="","",IF(ISNUMBER(H176),H176-TODAY(),""))</x:f>
      </x:c>
      <x:c r="O176" t="str">
        <x:f>IF(A176="","",'Benefits Master'!P176)</x:f>
      </x:c>
      <x:c r="P176" t="str">
        <x:f>IF(A176="","",'Benefits Master'!Q176)</x:f>
      </x:c>
      <x:c r="Q176" t="str">
        <x:f>IF(A176="","",'Benefits Master'!S176)</x:f>
      </x:c>
    </x:row>
    <x:row r="177">
      <x:c r="A177" t="str">
        <x:f>IF('Benefits Master'!A177="","",'Benefits Master'!A177)</x:f>
      </x:c>
      <x:c r="B177" t="str">
        <x:f>IF(A177="","",'Benefits Master'!B177)</x:f>
      </x:c>
      <x:c r="C177" t="str">
        <x:f>IF(A177="","",'Benefits Master'!D177)</x:f>
      </x:c>
      <x:c r="D177" t="str">
        <x:f>IF(A177="","",'Benefits Master'!E177)</x:f>
      </x:c>
      <x:c r="E177" t="str">
        <x:f>IF(A177="","",'Benefits Master'!J177)</x:f>
      </x:c>
      <x:c r="F177" t="str">
        <x:f>IF(A177="","",'Benefits Master'!K177)</x:f>
      </x:c>
      <x:c r="G177" t="str">
        <x:f>IF(A177="","",IF(F177="Jan-Jun",YEAR(TODAY())&amp;"-H1",IF(F177="Jul-Dec",YEAR(TODAY())&amp;"-H2",IF(E177="Monthly",TEXT(TODAY(),"yyyy-mm"),IF(E177="Quarterly",YEAR(TODAY())&amp;"-Q"&amp;ROUNDUP(MONTH(TODAY())/3,0),IF(E177="Semiannual",IF(MONTH(TODAY())&lt;=6,YEAR(TODAY())&amp;"-H1",YEAR(TODAY())&amp;"-H2"),IF(E177="Annual",YEAR(TODAY()),IF(E177="One-time","One-time","Custom"))))))))</x:f>
      </x:c>
      <x:c r="H177" t="str">
        <x:f>IF(A177="","",IF('Benefits Master'!M177&lt;&gt;"",'Benefits Master'!M177,IF('Benefits Master'!L177="End of Month",EOMONTH(TODAY(),0),IF('Benefits Master'!L177="End of Quarter",EOMONTH(DATE(YEAR(TODAY()),ROUNDUP(MONTH(TODAY())/3,0)*3,1),0),IF('Benefits Master'!L177="June 30",DATE(YEAR(TODAY()),6,30),IF('Benefits Master'!L177="Dec 31",DATE(YEAR(TODAY()),12,31),IF('Benefits Master'!L177="Card Anniversary","Enter open date",IF('Benefits Master'!L177="Specific Date","Set specific date",DATE(YEAR(TODAY()),12,31)))))))))</x:f>
      </x:c>
      <x:c r="I177" t="str">
        <x:f>IF(A177="","",'Benefits Master'!H177)</x:f>
      </x:c>
      <x:c r="J177" t="str">
        <x:f>IF(A177="","",SUMIFS('Benefit Usage Log'!$H:$H,'Benefit Usage Log'!$E:$E,A177,'Benefit Usage Log'!$G:$G,G177))</x:f>
      </x:c>
      <x:c r="K177" t="str">
        <x:f>IF(A177="","",MAX(0,I177-J177))</x:f>
      </x:c>
      <x:c r="L177" t="str">
        <x:f>IF(A177="","",IF(I177=0,0,MIN(1,J177/I177)))</x:f>
      </x:c>
      <x:c r="M177" t="str">
        <x:f>IF(A177="","",IF(ISNUMBER(H177)=FALSE,"Review Terms",IF(J177&gt;=I177,"Used",IF(AND(J177&gt;0,J177&lt;I177,H177&lt;TODAY()),"Missed",IF(AND(J177=0,H177&lt;TODAY()),"Missed",IF(AND(I177-J177&gt;0,H177-TODAY()&lt;='Benefits Master'!N177),"Expiring Soon",IF(J177&gt;0,"Partially Used","Not Used")))))))</x:f>
      </x:c>
      <x:c r="N177" t="str">
        <x:f>IF(A177="","",IF(ISNUMBER(H177),H177-TODAY(),""))</x:f>
      </x:c>
      <x:c r="O177" t="str">
        <x:f>IF(A177="","",'Benefits Master'!P177)</x:f>
      </x:c>
      <x:c r="P177" t="str">
        <x:f>IF(A177="","",'Benefits Master'!Q177)</x:f>
      </x:c>
      <x:c r="Q177" t="str">
        <x:f>IF(A177="","",'Benefits Master'!S177)</x:f>
      </x:c>
    </x:row>
    <x:row r="178">
      <x:c r="A178" t="str">
        <x:f>IF('Benefits Master'!A178="","",'Benefits Master'!A178)</x:f>
      </x:c>
      <x:c r="B178" t="str">
        <x:f>IF(A178="","",'Benefits Master'!B178)</x:f>
      </x:c>
      <x:c r="C178" t="str">
        <x:f>IF(A178="","",'Benefits Master'!D178)</x:f>
      </x:c>
      <x:c r="D178" t="str">
        <x:f>IF(A178="","",'Benefits Master'!E178)</x:f>
      </x:c>
      <x:c r="E178" t="str">
        <x:f>IF(A178="","",'Benefits Master'!J178)</x:f>
      </x:c>
      <x:c r="F178" t="str">
        <x:f>IF(A178="","",'Benefits Master'!K178)</x:f>
      </x:c>
      <x:c r="G178" t="str">
        <x:f>IF(A178="","",IF(F178="Jan-Jun",YEAR(TODAY())&amp;"-H1",IF(F178="Jul-Dec",YEAR(TODAY())&amp;"-H2",IF(E178="Monthly",TEXT(TODAY(),"yyyy-mm"),IF(E178="Quarterly",YEAR(TODAY())&amp;"-Q"&amp;ROUNDUP(MONTH(TODAY())/3,0),IF(E178="Semiannual",IF(MONTH(TODAY())&lt;=6,YEAR(TODAY())&amp;"-H1",YEAR(TODAY())&amp;"-H2"),IF(E178="Annual",YEAR(TODAY()),IF(E178="One-time","One-time","Custom"))))))))</x:f>
      </x:c>
      <x:c r="H178" t="str">
        <x:f>IF(A178="","",IF('Benefits Master'!M178&lt;&gt;"",'Benefits Master'!M178,IF('Benefits Master'!L178="End of Month",EOMONTH(TODAY(),0),IF('Benefits Master'!L178="End of Quarter",EOMONTH(DATE(YEAR(TODAY()),ROUNDUP(MONTH(TODAY())/3,0)*3,1),0),IF('Benefits Master'!L178="June 30",DATE(YEAR(TODAY()),6,30),IF('Benefits Master'!L178="Dec 31",DATE(YEAR(TODAY()),12,31),IF('Benefits Master'!L178="Card Anniversary","Enter open date",IF('Benefits Master'!L178="Specific Date","Set specific date",DATE(YEAR(TODAY()),12,31)))))))))</x:f>
      </x:c>
      <x:c r="I178" t="str">
        <x:f>IF(A178="","",'Benefits Master'!H178)</x:f>
      </x:c>
      <x:c r="J178" t="str">
        <x:f>IF(A178="","",SUMIFS('Benefit Usage Log'!$H:$H,'Benefit Usage Log'!$E:$E,A178,'Benefit Usage Log'!$G:$G,G178))</x:f>
      </x:c>
      <x:c r="K178" t="str">
        <x:f>IF(A178="","",MAX(0,I178-J178))</x:f>
      </x:c>
      <x:c r="L178" t="str">
        <x:f>IF(A178="","",IF(I178=0,0,MIN(1,J178/I178)))</x:f>
      </x:c>
      <x:c r="M178" t="str">
        <x:f>IF(A178="","",IF(ISNUMBER(H178)=FALSE,"Review Terms",IF(J178&gt;=I178,"Used",IF(AND(J178&gt;0,J178&lt;I178,H178&lt;TODAY()),"Missed",IF(AND(J178=0,H178&lt;TODAY()),"Missed",IF(AND(I178-J178&gt;0,H178-TODAY()&lt;='Benefits Master'!N178),"Expiring Soon",IF(J178&gt;0,"Partially Used","Not Used")))))))</x:f>
      </x:c>
      <x:c r="N178" t="str">
        <x:f>IF(A178="","",IF(ISNUMBER(H178),H178-TODAY(),""))</x:f>
      </x:c>
      <x:c r="O178" t="str">
        <x:f>IF(A178="","",'Benefits Master'!P178)</x:f>
      </x:c>
      <x:c r="P178" t="str">
        <x:f>IF(A178="","",'Benefits Master'!Q178)</x:f>
      </x:c>
      <x:c r="Q178" t="str">
        <x:f>IF(A178="","",'Benefits Master'!S178)</x:f>
      </x:c>
    </x:row>
    <x:row r="179">
      <x:c r="A179" t="str">
        <x:f>IF('Benefits Master'!A179="","",'Benefits Master'!A179)</x:f>
      </x:c>
      <x:c r="B179" t="str">
        <x:f>IF(A179="","",'Benefits Master'!B179)</x:f>
      </x:c>
      <x:c r="C179" t="str">
        <x:f>IF(A179="","",'Benefits Master'!D179)</x:f>
      </x:c>
      <x:c r="D179" t="str">
        <x:f>IF(A179="","",'Benefits Master'!E179)</x:f>
      </x:c>
      <x:c r="E179" t="str">
        <x:f>IF(A179="","",'Benefits Master'!J179)</x:f>
      </x:c>
      <x:c r="F179" t="str">
        <x:f>IF(A179="","",'Benefits Master'!K179)</x:f>
      </x:c>
      <x:c r="G179" t="str">
        <x:f>IF(A179="","",IF(F179="Jan-Jun",YEAR(TODAY())&amp;"-H1",IF(F179="Jul-Dec",YEAR(TODAY())&amp;"-H2",IF(E179="Monthly",TEXT(TODAY(),"yyyy-mm"),IF(E179="Quarterly",YEAR(TODAY())&amp;"-Q"&amp;ROUNDUP(MONTH(TODAY())/3,0),IF(E179="Semiannual",IF(MONTH(TODAY())&lt;=6,YEAR(TODAY())&amp;"-H1",YEAR(TODAY())&amp;"-H2"),IF(E179="Annual",YEAR(TODAY()),IF(E179="One-time","One-time","Custom"))))))))</x:f>
      </x:c>
      <x:c r="H179" t="str">
        <x:f>IF(A179="","",IF('Benefits Master'!M179&lt;&gt;"",'Benefits Master'!M179,IF('Benefits Master'!L179="End of Month",EOMONTH(TODAY(),0),IF('Benefits Master'!L179="End of Quarter",EOMONTH(DATE(YEAR(TODAY()),ROUNDUP(MONTH(TODAY())/3,0)*3,1),0),IF('Benefits Master'!L179="June 30",DATE(YEAR(TODAY()),6,30),IF('Benefits Master'!L179="Dec 31",DATE(YEAR(TODAY()),12,31),IF('Benefits Master'!L179="Card Anniversary","Enter open date",IF('Benefits Master'!L179="Specific Date","Set specific date",DATE(YEAR(TODAY()),12,31)))))))))</x:f>
      </x:c>
      <x:c r="I179" t="str">
        <x:f>IF(A179="","",'Benefits Master'!H179)</x:f>
      </x:c>
      <x:c r="J179" t="str">
        <x:f>IF(A179="","",SUMIFS('Benefit Usage Log'!$H:$H,'Benefit Usage Log'!$E:$E,A179,'Benefit Usage Log'!$G:$G,G179))</x:f>
      </x:c>
      <x:c r="K179" t="str">
        <x:f>IF(A179="","",MAX(0,I179-J179))</x:f>
      </x:c>
      <x:c r="L179" t="str">
        <x:f>IF(A179="","",IF(I179=0,0,MIN(1,J179/I179)))</x:f>
      </x:c>
      <x:c r="M179" t="str">
        <x:f>IF(A179="","",IF(ISNUMBER(H179)=FALSE,"Review Terms",IF(J179&gt;=I179,"Used",IF(AND(J179&gt;0,J179&lt;I179,H179&lt;TODAY()),"Missed",IF(AND(J179=0,H179&lt;TODAY()),"Missed",IF(AND(I179-J179&gt;0,H179-TODAY()&lt;='Benefits Master'!N179),"Expiring Soon",IF(J179&gt;0,"Partially Used","Not Used")))))))</x:f>
      </x:c>
      <x:c r="N179" t="str">
        <x:f>IF(A179="","",IF(ISNUMBER(H179),H179-TODAY(),""))</x:f>
      </x:c>
      <x:c r="O179" t="str">
        <x:f>IF(A179="","",'Benefits Master'!P179)</x:f>
      </x:c>
      <x:c r="P179" t="str">
        <x:f>IF(A179="","",'Benefits Master'!Q179)</x:f>
      </x:c>
      <x:c r="Q179" t="str">
        <x:f>IF(A179="","",'Benefits Master'!S179)</x:f>
      </x:c>
    </x:row>
    <x:row r="180">
      <x:c r="A180" t="str">
        <x:f>IF('Benefits Master'!A180="","",'Benefits Master'!A180)</x:f>
      </x:c>
      <x:c r="B180" t="str">
        <x:f>IF(A180="","",'Benefits Master'!B180)</x:f>
      </x:c>
      <x:c r="C180" t="str">
        <x:f>IF(A180="","",'Benefits Master'!D180)</x:f>
      </x:c>
      <x:c r="D180" t="str">
        <x:f>IF(A180="","",'Benefits Master'!E180)</x:f>
      </x:c>
      <x:c r="E180" t="str">
        <x:f>IF(A180="","",'Benefits Master'!J180)</x:f>
      </x:c>
      <x:c r="F180" t="str">
        <x:f>IF(A180="","",'Benefits Master'!K180)</x:f>
      </x:c>
      <x:c r="G180" t="str">
        <x:f>IF(A180="","",IF(F180="Jan-Jun",YEAR(TODAY())&amp;"-H1",IF(F180="Jul-Dec",YEAR(TODAY())&amp;"-H2",IF(E180="Monthly",TEXT(TODAY(),"yyyy-mm"),IF(E180="Quarterly",YEAR(TODAY())&amp;"-Q"&amp;ROUNDUP(MONTH(TODAY())/3,0),IF(E180="Semiannual",IF(MONTH(TODAY())&lt;=6,YEAR(TODAY())&amp;"-H1",YEAR(TODAY())&amp;"-H2"),IF(E180="Annual",YEAR(TODAY()),IF(E180="One-time","One-time","Custom"))))))))</x:f>
      </x:c>
      <x:c r="H180" t="str">
        <x:f>IF(A180="","",IF('Benefits Master'!M180&lt;&gt;"",'Benefits Master'!M180,IF('Benefits Master'!L180="End of Month",EOMONTH(TODAY(),0),IF('Benefits Master'!L180="End of Quarter",EOMONTH(DATE(YEAR(TODAY()),ROUNDUP(MONTH(TODAY())/3,0)*3,1),0),IF('Benefits Master'!L180="June 30",DATE(YEAR(TODAY()),6,30),IF('Benefits Master'!L180="Dec 31",DATE(YEAR(TODAY()),12,31),IF('Benefits Master'!L180="Card Anniversary","Enter open date",IF('Benefits Master'!L180="Specific Date","Set specific date",DATE(YEAR(TODAY()),12,31)))))))))</x:f>
      </x:c>
      <x:c r="I180" t="str">
        <x:f>IF(A180="","",'Benefits Master'!H180)</x:f>
      </x:c>
      <x:c r="J180" t="str">
        <x:f>IF(A180="","",SUMIFS('Benefit Usage Log'!$H:$H,'Benefit Usage Log'!$E:$E,A180,'Benefit Usage Log'!$G:$G,G180))</x:f>
      </x:c>
      <x:c r="K180" t="str">
        <x:f>IF(A180="","",MAX(0,I180-J180))</x:f>
      </x:c>
      <x:c r="L180" t="str">
        <x:f>IF(A180="","",IF(I180=0,0,MIN(1,J180/I180)))</x:f>
      </x:c>
      <x:c r="M180" t="str">
        <x:f>IF(A180="","",IF(ISNUMBER(H180)=FALSE,"Review Terms",IF(J180&gt;=I180,"Used",IF(AND(J180&gt;0,J180&lt;I180,H180&lt;TODAY()),"Missed",IF(AND(J180=0,H180&lt;TODAY()),"Missed",IF(AND(I180-J180&gt;0,H180-TODAY()&lt;='Benefits Master'!N180),"Expiring Soon",IF(J180&gt;0,"Partially Used","Not Used")))))))</x:f>
      </x:c>
      <x:c r="N180" t="str">
        <x:f>IF(A180="","",IF(ISNUMBER(H180),H180-TODAY(),""))</x:f>
      </x:c>
      <x:c r="O180" t="str">
        <x:f>IF(A180="","",'Benefits Master'!P180)</x:f>
      </x:c>
      <x:c r="P180" t="str">
        <x:f>IF(A180="","",'Benefits Master'!Q180)</x:f>
      </x:c>
      <x:c r="Q180" t="str">
        <x:f>IF(A180="","",'Benefits Master'!S180)</x:f>
      </x:c>
    </x:row>
    <x:row r="181">
      <x:c r="A181" t="str">
        <x:f>IF('Benefits Master'!A181="","",'Benefits Master'!A181)</x:f>
      </x:c>
      <x:c r="B181" t="str">
        <x:f>IF(A181="","",'Benefits Master'!B181)</x:f>
      </x:c>
      <x:c r="C181" t="str">
        <x:f>IF(A181="","",'Benefits Master'!D181)</x:f>
      </x:c>
      <x:c r="D181" t="str">
        <x:f>IF(A181="","",'Benefits Master'!E181)</x:f>
      </x:c>
      <x:c r="E181" t="str">
        <x:f>IF(A181="","",'Benefits Master'!J181)</x:f>
      </x:c>
      <x:c r="F181" t="str">
        <x:f>IF(A181="","",'Benefits Master'!K181)</x:f>
      </x:c>
      <x:c r="G181" t="str">
        <x:f>IF(A181="","",IF(F181="Jan-Jun",YEAR(TODAY())&amp;"-H1",IF(F181="Jul-Dec",YEAR(TODAY())&amp;"-H2",IF(E181="Monthly",TEXT(TODAY(),"yyyy-mm"),IF(E181="Quarterly",YEAR(TODAY())&amp;"-Q"&amp;ROUNDUP(MONTH(TODAY())/3,0),IF(E181="Semiannual",IF(MONTH(TODAY())&lt;=6,YEAR(TODAY())&amp;"-H1",YEAR(TODAY())&amp;"-H2"),IF(E181="Annual",YEAR(TODAY()),IF(E181="One-time","One-time","Custom"))))))))</x:f>
      </x:c>
      <x:c r="H181" t="str">
        <x:f>IF(A181="","",IF('Benefits Master'!M181&lt;&gt;"",'Benefits Master'!M181,IF('Benefits Master'!L181="End of Month",EOMONTH(TODAY(),0),IF('Benefits Master'!L181="End of Quarter",EOMONTH(DATE(YEAR(TODAY()),ROUNDUP(MONTH(TODAY())/3,0)*3,1),0),IF('Benefits Master'!L181="June 30",DATE(YEAR(TODAY()),6,30),IF('Benefits Master'!L181="Dec 31",DATE(YEAR(TODAY()),12,31),IF('Benefits Master'!L181="Card Anniversary","Enter open date",IF('Benefits Master'!L181="Specific Date","Set specific date",DATE(YEAR(TODAY()),12,31)))))))))</x:f>
      </x:c>
      <x:c r="I181" t="str">
        <x:f>IF(A181="","",'Benefits Master'!H181)</x:f>
      </x:c>
      <x:c r="J181" t="str">
        <x:f>IF(A181="","",SUMIFS('Benefit Usage Log'!$H:$H,'Benefit Usage Log'!$E:$E,A181,'Benefit Usage Log'!$G:$G,G181))</x:f>
      </x:c>
      <x:c r="K181" t="str">
        <x:f>IF(A181="","",MAX(0,I181-J181))</x:f>
      </x:c>
      <x:c r="L181" t="str">
        <x:f>IF(A181="","",IF(I181=0,0,MIN(1,J181/I181)))</x:f>
      </x:c>
      <x:c r="M181" t="str">
        <x:f>IF(A181="","",IF(ISNUMBER(H181)=FALSE,"Review Terms",IF(J181&gt;=I181,"Used",IF(AND(J181&gt;0,J181&lt;I181,H181&lt;TODAY()),"Missed",IF(AND(J181=0,H181&lt;TODAY()),"Missed",IF(AND(I181-J181&gt;0,H181-TODAY()&lt;='Benefits Master'!N181),"Expiring Soon",IF(J181&gt;0,"Partially Used","Not Used")))))))</x:f>
      </x:c>
      <x:c r="N181" t="str">
        <x:f>IF(A181="","",IF(ISNUMBER(H181),H181-TODAY(),""))</x:f>
      </x:c>
      <x:c r="O181" t="str">
        <x:f>IF(A181="","",'Benefits Master'!P181)</x:f>
      </x:c>
      <x:c r="P181" t="str">
        <x:f>IF(A181="","",'Benefits Master'!Q181)</x:f>
      </x:c>
      <x:c r="Q181" t="str">
        <x:f>IF(A181="","",'Benefits Master'!S181)</x:f>
      </x:c>
    </x:row>
    <x:row r="182">
      <x:c r="A182" t="str">
        <x:f>IF('Benefits Master'!A182="","",'Benefits Master'!A182)</x:f>
      </x:c>
      <x:c r="B182" t="str">
        <x:f>IF(A182="","",'Benefits Master'!B182)</x:f>
      </x:c>
      <x:c r="C182" t="str">
        <x:f>IF(A182="","",'Benefits Master'!D182)</x:f>
      </x:c>
      <x:c r="D182" t="str">
        <x:f>IF(A182="","",'Benefits Master'!E182)</x:f>
      </x:c>
      <x:c r="E182" t="str">
        <x:f>IF(A182="","",'Benefits Master'!J182)</x:f>
      </x:c>
      <x:c r="F182" t="str">
        <x:f>IF(A182="","",'Benefits Master'!K182)</x:f>
      </x:c>
      <x:c r="G182" t="str">
        <x:f>IF(A182="","",IF(F182="Jan-Jun",YEAR(TODAY())&amp;"-H1",IF(F182="Jul-Dec",YEAR(TODAY())&amp;"-H2",IF(E182="Monthly",TEXT(TODAY(),"yyyy-mm"),IF(E182="Quarterly",YEAR(TODAY())&amp;"-Q"&amp;ROUNDUP(MONTH(TODAY())/3,0),IF(E182="Semiannual",IF(MONTH(TODAY())&lt;=6,YEAR(TODAY())&amp;"-H1",YEAR(TODAY())&amp;"-H2"),IF(E182="Annual",YEAR(TODAY()),IF(E182="One-time","One-time","Custom"))))))))</x:f>
      </x:c>
      <x:c r="H182" t="str">
        <x:f>IF(A182="","",IF('Benefits Master'!M182&lt;&gt;"",'Benefits Master'!M182,IF('Benefits Master'!L182="End of Month",EOMONTH(TODAY(),0),IF('Benefits Master'!L182="End of Quarter",EOMONTH(DATE(YEAR(TODAY()),ROUNDUP(MONTH(TODAY())/3,0)*3,1),0),IF('Benefits Master'!L182="June 30",DATE(YEAR(TODAY()),6,30),IF('Benefits Master'!L182="Dec 31",DATE(YEAR(TODAY()),12,31),IF('Benefits Master'!L182="Card Anniversary","Enter open date",IF('Benefits Master'!L182="Specific Date","Set specific date",DATE(YEAR(TODAY()),12,31)))))))))</x:f>
      </x:c>
      <x:c r="I182" t="str">
        <x:f>IF(A182="","",'Benefits Master'!H182)</x:f>
      </x:c>
      <x:c r="J182" t="str">
        <x:f>IF(A182="","",SUMIFS('Benefit Usage Log'!$H:$H,'Benefit Usage Log'!$E:$E,A182,'Benefit Usage Log'!$G:$G,G182))</x:f>
      </x:c>
      <x:c r="K182" t="str">
        <x:f>IF(A182="","",MAX(0,I182-J182))</x:f>
      </x:c>
      <x:c r="L182" t="str">
        <x:f>IF(A182="","",IF(I182=0,0,MIN(1,J182/I182)))</x:f>
      </x:c>
      <x:c r="M182" t="str">
        <x:f>IF(A182="","",IF(ISNUMBER(H182)=FALSE,"Review Terms",IF(J182&gt;=I182,"Used",IF(AND(J182&gt;0,J182&lt;I182,H182&lt;TODAY()),"Missed",IF(AND(J182=0,H182&lt;TODAY()),"Missed",IF(AND(I182-J182&gt;0,H182-TODAY()&lt;='Benefits Master'!N182),"Expiring Soon",IF(J182&gt;0,"Partially Used","Not Used")))))))</x:f>
      </x:c>
      <x:c r="N182" t="str">
        <x:f>IF(A182="","",IF(ISNUMBER(H182),H182-TODAY(),""))</x:f>
      </x:c>
      <x:c r="O182" t="str">
        <x:f>IF(A182="","",'Benefits Master'!P182)</x:f>
      </x:c>
      <x:c r="P182" t="str">
        <x:f>IF(A182="","",'Benefits Master'!Q182)</x:f>
      </x:c>
      <x:c r="Q182" t="str">
        <x:f>IF(A182="","",'Benefits Master'!S182)</x:f>
      </x:c>
    </x:row>
    <x:row r="183">
      <x:c r="A183" t="str">
        <x:f>IF('Benefits Master'!A183="","",'Benefits Master'!A183)</x:f>
      </x:c>
      <x:c r="B183" t="str">
        <x:f>IF(A183="","",'Benefits Master'!B183)</x:f>
      </x:c>
      <x:c r="C183" t="str">
        <x:f>IF(A183="","",'Benefits Master'!D183)</x:f>
      </x:c>
      <x:c r="D183" t="str">
        <x:f>IF(A183="","",'Benefits Master'!E183)</x:f>
      </x:c>
      <x:c r="E183" t="str">
        <x:f>IF(A183="","",'Benefits Master'!J183)</x:f>
      </x:c>
      <x:c r="F183" t="str">
        <x:f>IF(A183="","",'Benefits Master'!K183)</x:f>
      </x:c>
      <x:c r="G183" t="str">
        <x:f>IF(A183="","",IF(F183="Jan-Jun",YEAR(TODAY())&amp;"-H1",IF(F183="Jul-Dec",YEAR(TODAY())&amp;"-H2",IF(E183="Monthly",TEXT(TODAY(),"yyyy-mm"),IF(E183="Quarterly",YEAR(TODAY())&amp;"-Q"&amp;ROUNDUP(MONTH(TODAY())/3,0),IF(E183="Semiannual",IF(MONTH(TODAY())&lt;=6,YEAR(TODAY())&amp;"-H1",YEAR(TODAY())&amp;"-H2"),IF(E183="Annual",YEAR(TODAY()),IF(E183="One-time","One-time","Custom"))))))))</x:f>
      </x:c>
      <x:c r="H183" t="str">
        <x:f>IF(A183="","",IF('Benefits Master'!M183&lt;&gt;"",'Benefits Master'!M183,IF('Benefits Master'!L183="End of Month",EOMONTH(TODAY(),0),IF('Benefits Master'!L183="End of Quarter",EOMONTH(DATE(YEAR(TODAY()),ROUNDUP(MONTH(TODAY())/3,0)*3,1),0),IF('Benefits Master'!L183="June 30",DATE(YEAR(TODAY()),6,30),IF('Benefits Master'!L183="Dec 31",DATE(YEAR(TODAY()),12,31),IF('Benefits Master'!L183="Card Anniversary","Enter open date",IF('Benefits Master'!L183="Specific Date","Set specific date",DATE(YEAR(TODAY()),12,31)))))))))</x:f>
      </x:c>
      <x:c r="I183" t="str">
        <x:f>IF(A183="","",'Benefits Master'!H183)</x:f>
      </x:c>
      <x:c r="J183" t="str">
        <x:f>IF(A183="","",SUMIFS('Benefit Usage Log'!$H:$H,'Benefit Usage Log'!$E:$E,A183,'Benefit Usage Log'!$G:$G,G183))</x:f>
      </x:c>
      <x:c r="K183" t="str">
        <x:f>IF(A183="","",MAX(0,I183-J183))</x:f>
      </x:c>
      <x:c r="L183" t="str">
        <x:f>IF(A183="","",IF(I183=0,0,MIN(1,J183/I183)))</x:f>
      </x:c>
      <x:c r="M183" t="str">
        <x:f>IF(A183="","",IF(ISNUMBER(H183)=FALSE,"Review Terms",IF(J183&gt;=I183,"Used",IF(AND(J183&gt;0,J183&lt;I183,H183&lt;TODAY()),"Missed",IF(AND(J183=0,H183&lt;TODAY()),"Missed",IF(AND(I183-J183&gt;0,H183-TODAY()&lt;='Benefits Master'!N183),"Expiring Soon",IF(J183&gt;0,"Partially Used","Not Used")))))))</x:f>
      </x:c>
      <x:c r="N183" t="str">
        <x:f>IF(A183="","",IF(ISNUMBER(H183),H183-TODAY(),""))</x:f>
      </x:c>
      <x:c r="O183" t="str">
        <x:f>IF(A183="","",'Benefits Master'!P183)</x:f>
      </x:c>
      <x:c r="P183" t="str">
        <x:f>IF(A183="","",'Benefits Master'!Q183)</x:f>
      </x:c>
      <x:c r="Q183" t="str">
        <x:f>IF(A183="","",'Benefits Master'!S183)</x:f>
      </x:c>
    </x:row>
    <x:row r="184">
      <x:c r="A184" t="str">
        <x:f>IF('Benefits Master'!A184="","",'Benefits Master'!A184)</x:f>
      </x:c>
      <x:c r="B184" t="str">
        <x:f>IF(A184="","",'Benefits Master'!B184)</x:f>
      </x:c>
      <x:c r="C184" t="str">
        <x:f>IF(A184="","",'Benefits Master'!D184)</x:f>
      </x:c>
      <x:c r="D184" t="str">
        <x:f>IF(A184="","",'Benefits Master'!E184)</x:f>
      </x:c>
      <x:c r="E184" t="str">
        <x:f>IF(A184="","",'Benefits Master'!J184)</x:f>
      </x:c>
      <x:c r="F184" t="str">
        <x:f>IF(A184="","",'Benefits Master'!K184)</x:f>
      </x:c>
      <x:c r="G184" t="str">
        <x:f>IF(A184="","",IF(F184="Jan-Jun",YEAR(TODAY())&amp;"-H1",IF(F184="Jul-Dec",YEAR(TODAY())&amp;"-H2",IF(E184="Monthly",TEXT(TODAY(),"yyyy-mm"),IF(E184="Quarterly",YEAR(TODAY())&amp;"-Q"&amp;ROUNDUP(MONTH(TODAY())/3,0),IF(E184="Semiannual",IF(MONTH(TODAY())&lt;=6,YEAR(TODAY())&amp;"-H1",YEAR(TODAY())&amp;"-H2"),IF(E184="Annual",YEAR(TODAY()),IF(E184="One-time","One-time","Custom"))))))))</x:f>
      </x:c>
      <x:c r="H184" t="str">
        <x:f>IF(A184="","",IF('Benefits Master'!M184&lt;&gt;"",'Benefits Master'!M184,IF('Benefits Master'!L184="End of Month",EOMONTH(TODAY(),0),IF('Benefits Master'!L184="End of Quarter",EOMONTH(DATE(YEAR(TODAY()),ROUNDUP(MONTH(TODAY())/3,0)*3,1),0),IF('Benefits Master'!L184="June 30",DATE(YEAR(TODAY()),6,30),IF('Benefits Master'!L184="Dec 31",DATE(YEAR(TODAY()),12,31),IF('Benefits Master'!L184="Card Anniversary","Enter open date",IF('Benefits Master'!L184="Specific Date","Set specific date",DATE(YEAR(TODAY()),12,31)))))))))</x:f>
      </x:c>
      <x:c r="I184" t="str">
        <x:f>IF(A184="","",'Benefits Master'!H184)</x:f>
      </x:c>
      <x:c r="J184" t="str">
        <x:f>IF(A184="","",SUMIFS('Benefit Usage Log'!$H:$H,'Benefit Usage Log'!$E:$E,A184,'Benefit Usage Log'!$G:$G,G184))</x:f>
      </x:c>
      <x:c r="K184" t="str">
        <x:f>IF(A184="","",MAX(0,I184-J184))</x:f>
      </x:c>
      <x:c r="L184" t="str">
        <x:f>IF(A184="","",IF(I184=0,0,MIN(1,J184/I184)))</x:f>
      </x:c>
      <x:c r="M184" t="str">
        <x:f>IF(A184="","",IF(ISNUMBER(H184)=FALSE,"Review Terms",IF(J184&gt;=I184,"Used",IF(AND(J184&gt;0,J184&lt;I184,H184&lt;TODAY()),"Missed",IF(AND(J184=0,H184&lt;TODAY()),"Missed",IF(AND(I184-J184&gt;0,H184-TODAY()&lt;='Benefits Master'!N184),"Expiring Soon",IF(J184&gt;0,"Partially Used","Not Used")))))))</x:f>
      </x:c>
      <x:c r="N184" t="str">
        <x:f>IF(A184="","",IF(ISNUMBER(H184),H184-TODAY(),""))</x:f>
      </x:c>
      <x:c r="O184" t="str">
        <x:f>IF(A184="","",'Benefits Master'!P184)</x:f>
      </x:c>
      <x:c r="P184" t="str">
        <x:f>IF(A184="","",'Benefits Master'!Q184)</x:f>
      </x:c>
      <x:c r="Q184" t="str">
        <x:f>IF(A184="","",'Benefits Master'!S184)</x:f>
      </x:c>
    </x:row>
    <x:row r="185">
      <x:c r="A185" t="str">
        <x:f>IF('Benefits Master'!A185="","",'Benefits Master'!A185)</x:f>
      </x:c>
      <x:c r="B185" t="str">
        <x:f>IF(A185="","",'Benefits Master'!B185)</x:f>
      </x:c>
      <x:c r="C185" t="str">
        <x:f>IF(A185="","",'Benefits Master'!D185)</x:f>
      </x:c>
      <x:c r="D185" t="str">
        <x:f>IF(A185="","",'Benefits Master'!E185)</x:f>
      </x:c>
      <x:c r="E185" t="str">
        <x:f>IF(A185="","",'Benefits Master'!J185)</x:f>
      </x:c>
      <x:c r="F185" t="str">
        <x:f>IF(A185="","",'Benefits Master'!K185)</x:f>
      </x:c>
      <x:c r="G185" t="str">
        <x:f>IF(A185="","",IF(F185="Jan-Jun",YEAR(TODAY())&amp;"-H1",IF(F185="Jul-Dec",YEAR(TODAY())&amp;"-H2",IF(E185="Monthly",TEXT(TODAY(),"yyyy-mm"),IF(E185="Quarterly",YEAR(TODAY())&amp;"-Q"&amp;ROUNDUP(MONTH(TODAY())/3,0),IF(E185="Semiannual",IF(MONTH(TODAY())&lt;=6,YEAR(TODAY())&amp;"-H1",YEAR(TODAY())&amp;"-H2"),IF(E185="Annual",YEAR(TODAY()),IF(E185="One-time","One-time","Custom"))))))))</x:f>
      </x:c>
      <x:c r="H185" t="str">
        <x:f>IF(A185="","",IF('Benefits Master'!M185&lt;&gt;"",'Benefits Master'!M185,IF('Benefits Master'!L185="End of Month",EOMONTH(TODAY(),0),IF('Benefits Master'!L185="End of Quarter",EOMONTH(DATE(YEAR(TODAY()),ROUNDUP(MONTH(TODAY())/3,0)*3,1),0),IF('Benefits Master'!L185="June 30",DATE(YEAR(TODAY()),6,30),IF('Benefits Master'!L185="Dec 31",DATE(YEAR(TODAY()),12,31),IF('Benefits Master'!L185="Card Anniversary","Enter open date",IF('Benefits Master'!L185="Specific Date","Set specific date",DATE(YEAR(TODAY()),12,31)))))))))</x:f>
      </x:c>
      <x:c r="I185" t="str">
        <x:f>IF(A185="","",'Benefits Master'!H185)</x:f>
      </x:c>
      <x:c r="J185" t="str">
        <x:f>IF(A185="","",SUMIFS('Benefit Usage Log'!$H:$H,'Benefit Usage Log'!$E:$E,A185,'Benefit Usage Log'!$G:$G,G185))</x:f>
      </x:c>
      <x:c r="K185" t="str">
        <x:f>IF(A185="","",MAX(0,I185-J185))</x:f>
      </x:c>
      <x:c r="L185" t="str">
        <x:f>IF(A185="","",IF(I185=0,0,MIN(1,J185/I185)))</x:f>
      </x:c>
      <x:c r="M185" t="str">
        <x:f>IF(A185="","",IF(ISNUMBER(H185)=FALSE,"Review Terms",IF(J185&gt;=I185,"Used",IF(AND(J185&gt;0,J185&lt;I185,H185&lt;TODAY()),"Missed",IF(AND(J185=0,H185&lt;TODAY()),"Missed",IF(AND(I185-J185&gt;0,H185-TODAY()&lt;='Benefits Master'!N185),"Expiring Soon",IF(J185&gt;0,"Partially Used","Not Used")))))))</x:f>
      </x:c>
      <x:c r="N185" t="str">
        <x:f>IF(A185="","",IF(ISNUMBER(H185),H185-TODAY(),""))</x:f>
      </x:c>
      <x:c r="O185" t="str">
        <x:f>IF(A185="","",'Benefits Master'!P185)</x:f>
      </x:c>
      <x:c r="P185" t="str">
        <x:f>IF(A185="","",'Benefits Master'!Q185)</x:f>
      </x:c>
      <x:c r="Q185" t="str">
        <x:f>IF(A185="","",'Benefits Master'!S185)</x:f>
      </x:c>
    </x:row>
    <x:row r="186">
      <x:c r="A186" t="str">
        <x:f>IF('Benefits Master'!A186="","",'Benefits Master'!A186)</x:f>
      </x:c>
      <x:c r="B186" t="str">
        <x:f>IF(A186="","",'Benefits Master'!B186)</x:f>
      </x:c>
      <x:c r="C186" t="str">
        <x:f>IF(A186="","",'Benefits Master'!D186)</x:f>
      </x:c>
      <x:c r="D186" t="str">
        <x:f>IF(A186="","",'Benefits Master'!E186)</x:f>
      </x:c>
      <x:c r="E186" t="str">
        <x:f>IF(A186="","",'Benefits Master'!J186)</x:f>
      </x:c>
      <x:c r="F186" t="str">
        <x:f>IF(A186="","",'Benefits Master'!K186)</x:f>
      </x:c>
      <x:c r="G186" t="str">
        <x:f>IF(A186="","",IF(F186="Jan-Jun",YEAR(TODAY())&amp;"-H1",IF(F186="Jul-Dec",YEAR(TODAY())&amp;"-H2",IF(E186="Monthly",TEXT(TODAY(),"yyyy-mm"),IF(E186="Quarterly",YEAR(TODAY())&amp;"-Q"&amp;ROUNDUP(MONTH(TODAY())/3,0),IF(E186="Semiannual",IF(MONTH(TODAY())&lt;=6,YEAR(TODAY())&amp;"-H1",YEAR(TODAY())&amp;"-H2"),IF(E186="Annual",YEAR(TODAY()),IF(E186="One-time","One-time","Custom"))))))))</x:f>
      </x:c>
      <x:c r="H186" t="str">
        <x:f>IF(A186="","",IF('Benefits Master'!M186&lt;&gt;"",'Benefits Master'!M186,IF('Benefits Master'!L186="End of Month",EOMONTH(TODAY(),0),IF('Benefits Master'!L186="End of Quarter",EOMONTH(DATE(YEAR(TODAY()),ROUNDUP(MONTH(TODAY())/3,0)*3,1),0),IF('Benefits Master'!L186="June 30",DATE(YEAR(TODAY()),6,30),IF('Benefits Master'!L186="Dec 31",DATE(YEAR(TODAY()),12,31),IF('Benefits Master'!L186="Card Anniversary","Enter open date",IF('Benefits Master'!L186="Specific Date","Set specific date",DATE(YEAR(TODAY()),12,31)))))))))</x:f>
      </x:c>
      <x:c r="I186" t="str">
        <x:f>IF(A186="","",'Benefits Master'!H186)</x:f>
      </x:c>
      <x:c r="J186" t="str">
        <x:f>IF(A186="","",SUMIFS('Benefit Usage Log'!$H:$H,'Benefit Usage Log'!$E:$E,A186,'Benefit Usage Log'!$G:$G,G186))</x:f>
      </x:c>
      <x:c r="K186" t="str">
        <x:f>IF(A186="","",MAX(0,I186-J186))</x:f>
      </x:c>
      <x:c r="L186" t="str">
        <x:f>IF(A186="","",IF(I186=0,0,MIN(1,J186/I186)))</x:f>
      </x:c>
      <x:c r="M186" t="str">
        <x:f>IF(A186="","",IF(ISNUMBER(H186)=FALSE,"Review Terms",IF(J186&gt;=I186,"Used",IF(AND(J186&gt;0,J186&lt;I186,H186&lt;TODAY()),"Missed",IF(AND(J186=0,H186&lt;TODAY()),"Missed",IF(AND(I186-J186&gt;0,H186-TODAY()&lt;='Benefits Master'!N186),"Expiring Soon",IF(J186&gt;0,"Partially Used","Not Used")))))))</x:f>
      </x:c>
      <x:c r="N186" t="str">
        <x:f>IF(A186="","",IF(ISNUMBER(H186),H186-TODAY(),""))</x:f>
      </x:c>
      <x:c r="O186" t="str">
        <x:f>IF(A186="","",'Benefits Master'!P186)</x:f>
      </x:c>
      <x:c r="P186" t="str">
        <x:f>IF(A186="","",'Benefits Master'!Q186)</x:f>
      </x:c>
      <x:c r="Q186" t="str">
        <x:f>IF(A186="","",'Benefits Master'!S186)</x:f>
      </x:c>
    </x:row>
    <x:row r="187">
      <x:c r="A187" t="str">
        <x:f>IF('Benefits Master'!A187="","",'Benefits Master'!A187)</x:f>
      </x:c>
      <x:c r="B187" t="str">
        <x:f>IF(A187="","",'Benefits Master'!B187)</x:f>
      </x:c>
      <x:c r="C187" t="str">
        <x:f>IF(A187="","",'Benefits Master'!D187)</x:f>
      </x:c>
      <x:c r="D187" t="str">
        <x:f>IF(A187="","",'Benefits Master'!E187)</x:f>
      </x:c>
      <x:c r="E187" t="str">
        <x:f>IF(A187="","",'Benefits Master'!J187)</x:f>
      </x:c>
      <x:c r="F187" t="str">
        <x:f>IF(A187="","",'Benefits Master'!K187)</x:f>
      </x:c>
      <x:c r="G187" t="str">
        <x:f>IF(A187="","",IF(F187="Jan-Jun",YEAR(TODAY())&amp;"-H1",IF(F187="Jul-Dec",YEAR(TODAY())&amp;"-H2",IF(E187="Monthly",TEXT(TODAY(),"yyyy-mm"),IF(E187="Quarterly",YEAR(TODAY())&amp;"-Q"&amp;ROUNDUP(MONTH(TODAY())/3,0),IF(E187="Semiannual",IF(MONTH(TODAY())&lt;=6,YEAR(TODAY())&amp;"-H1",YEAR(TODAY())&amp;"-H2"),IF(E187="Annual",YEAR(TODAY()),IF(E187="One-time","One-time","Custom"))))))))</x:f>
      </x:c>
      <x:c r="H187" t="str">
        <x:f>IF(A187="","",IF('Benefits Master'!M187&lt;&gt;"",'Benefits Master'!M187,IF('Benefits Master'!L187="End of Month",EOMONTH(TODAY(),0),IF('Benefits Master'!L187="End of Quarter",EOMONTH(DATE(YEAR(TODAY()),ROUNDUP(MONTH(TODAY())/3,0)*3,1),0),IF('Benefits Master'!L187="June 30",DATE(YEAR(TODAY()),6,30),IF('Benefits Master'!L187="Dec 31",DATE(YEAR(TODAY()),12,31),IF('Benefits Master'!L187="Card Anniversary","Enter open date",IF('Benefits Master'!L187="Specific Date","Set specific date",DATE(YEAR(TODAY()),12,31)))))))))</x:f>
      </x:c>
      <x:c r="I187" t="str">
        <x:f>IF(A187="","",'Benefits Master'!H187)</x:f>
      </x:c>
      <x:c r="J187" t="str">
        <x:f>IF(A187="","",SUMIFS('Benefit Usage Log'!$H:$H,'Benefit Usage Log'!$E:$E,A187,'Benefit Usage Log'!$G:$G,G187))</x:f>
      </x:c>
      <x:c r="K187" t="str">
        <x:f>IF(A187="","",MAX(0,I187-J187))</x:f>
      </x:c>
      <x:c r="L187" t="str">
        <x:f>IF(A187="","",IF(I187=0,0,MIN(1,J187/I187)))</x:f>
      </x:c>
      <x:c r="M187" t="str">
        <x:f>IF(A187="","",IF(ISNUMBER(H187)=FALSE,"Review Terms",IF(J187&gt;=I187,"Used",IF(AND(J187&gt;0,J187&lt;I187,H187&lt;TODAY()),"Missed",IF(AND(J187=0,H187&lt;TODAY()),"Missed",IF(AND(I187-J187&gt;0,H187-TODAY()&lt;='Benefits Master'!N187),"Expiring Soon",IF(J187&gt;0,"Partially Used","Not Used")))))))</x:f>
      </x:c>
      <x:c r="N187" t="str">
        <x:f>IF(A187="","",IF(ISNUMBER(H187),H187-TODAY(),""))</x:f>
      </x:c>
      <x:c r="O187" t="str">
        <x:f>IF(A187="","",'Benefits Master'!P187)</x:f>
      </x:c>
      <x:c r="P187" t="str">
        <x:f>IF(A187="","",'Benefits Master'!Q187)</x:f>
      </x:c>
      <x:c r="Q187" t="str">
        <x:f>IF(A187="","",'Benefits Master'!S187)</x:f>
      </x:c>
    </x:row>
    <x:row r="188">
      <x:c r="A188" t="str">
        <x:f>IF('Benefits Master'!A188="","",'Benefits Master'!A188)</x:f>
      </x:c>
      <x:c r="B188" t="str">
        <x:f>IF(A188="","",'Benefits Master'!B188)</x:f>
      </x:c>
      <x:c r="C188" t="str">
        <x:f>IF(A188="","",'Benefits Master'!D188)</x:f>
      </x:c>
      <x:c r="D188" t="str">
        <x:f>IF(A188="","",'Benefits Master'!E188)</x:f>
      </x:c>
      <x:c r="E188" t="str">
        <x:f>IF(A188="","",'Benefits Master'!J188)</x:f>
      </x:c>
      <x:c r="F188" t="str">
        <x:f>IF(A188="","",'Benefits Master'!K188)</x:f>
      </x:c>
      <x:c r="G188" t="str">
        <x:f>IF(A188="","",IF(F188="Jan-Jun",YEAR(TODAY())&amp;"-H1",IF(F188="Jul-Dec",YEAR(TODAY())&amp;"-H2",IF(E188="Monthly",TEXT(TODAY(),"yyyy-mm"),IF(E188="Quarterly",YEAR(TODAY())&amp;"-Q"&amp;ROUNDUP(MONTH(TODAY())/3,0),IF(E188="Semiannual",IF(MONTH(TODAY())&lt;=6,YEAR(TODAY())&amp;"-H1",YEAR(TODAY())&amp;"-H2"),IF(E188="Annual",YEAR(TODAY()),IF(E188="One-time","One-time","Custom"))))))))</x:f>
      </x:c>
      <x:c r="H188" t="str">
        <x:f>IF(A188="","",IF('Benefits Master'!M188&lt;&gt;"",'Benefits Master'!M188,IF('Benefits Master'!L188="End of Month",EOMONTH(TODAY(),0),IF('Benefits Master'!L188="End of Quarter",EOMONTH(DATE(YEAR(TODAY()),ROUNDUP(MONTH(TODAY())/3,0)*3,1),0),IF('Benefits Master'!L188="June 30",DATE(YEAR(TODAY()),6,30),IF('Benefits Master'!L188="Dec 31",DATE(YEAR(TODAY()),12,31),IF('Benefits Master'!L188="Card Anniversary","Enter open date",IF('Benefits Master'!L188="Specific Date","Set specific date",DATE(YEAR(TODAY()),12,31)))))))))</x:f>
      </x:c>
      <x:c r="I188" t="str">
        <x:f>IF(A188="","",'Benefits Master'!H188)</x:f>
      </x:c>
      <x:c r="J188" t="str">
        <x:f>IF(A188="","",SUMIFS('Benefit Usage Log'!$H:$H,'Benefit Usage Log'!$E:$E,A188,'Benefit Usage Log'!$G:$G,G188))</x:f>
      </x:c>
      <x:c r="K188" t="str">
        <x:f>IF(A188="","",MAX(0,I188-J188))</x:f>
      </x:c>
      <x:c r="L188" t="str">
        <x:f>IF(A188="","",IF(I188=0,0,MIN(1,J188/I188)))</x:f>
      </x:c>
      <x:c r="M188" t="str">
        <x:f>IF(A188="","",IF(ISNUMBER(H188)=FALSE,"Review Terms",IF(J188&gt;=I188,"Used",IF(AND(J188&gt;0,J188&lt;I188,H188&lt;TODAY()),"Missed",IF(AND(J188=0,H188&lt;TODAY()),"Missed",IF(AND(I188-J188&gt;0,H188-TODAY()&lt;='Benefits Master'!N188),"Expiring Soon",IF(J188&gt;0,"Partially Used","Not Used")))))))</x:f>
      </x:c>
      <x:c r="N188" t="str">
        <x:f>IF(A188="","",IF(ISNUMBER(H188),H188-TODAY(),""))</x:f>
      </x:c>
      <x:c r="O188" t="str">
        <x:f>IF(A188="","",'Benefits Master'!P188)</x:f>
      </x:c>
      <x:c r="P188" t="str">
        <x:f>IF(A188="","",'Benefits Master'!Q188)</x:f>
      </x:c>
      <x:c r="Q188" t="str">
        <x:f>IF(A188="","",'Benefits Master'!S188)</x:f>
      </x:c>
    </x:row>
    <x:row r="189">
      <x:c r="A189" t="str">
        <x:f>IF('Benefits Master'!A189="","",'Benefits Master'!A189)</x:f>
      </x:c>
      <x:c r="B189" t="str">
        <x:f>IF(A189="","",'Benefits Master'!B189)</x:f>
      </x:c>
      <x:c r="C189" t="str">
        <x:f>IF(A189="","",'Benefits Master'!D189)</x:f>
      </x:c>
      <x:c r="D189" t="str">
        <x:f>IF(A189="","",'Benefits Master'!E189)</x:f>
      </x:c>
      <x:c r="E189" t="str">
        <x:f>IF(A189="","",'Benefits Master'!J189)</x:f>
      </x:c>
      <x:c r="F189" t="str">
        <x:f>IF(A189="","",'Benefits Master'!K189)</x:f>
      </x:c>
      <x:c r="G189" t="str">
        <x:f>IF(A189="","",IF(F189="Jan-Jun",YEAR(TODAY())&amp;"-H1",IF(F189="Jul-Dec",YEAR(TODAY())&amp;"-H2",IF(E189="Monthly",TEXT(TODAY(),"yyyy-mm"),IF(E189="Quarterly",YEAR(TODAY())&amp;"-Q"&amp;ROUNDUP(MONTH(TODAY())/3,0),IF(E189="Semiannual",IF(MONTH(TODAY())&lt;=6,YEAR(TODAY())&amp;"-H1",YEAR(TODAY())&amp;"-H2"),IF(E189="Annual",YEAR(TODAY()),IF(E189="One-time","One-time","Custom"))))))))</x:f>
      </x:c>
      <x:c r="H189" t="str">
        <x:f>IF(A189="","",IF('Benefits Master'!M189&lt;&gt;"",'Benefits Master'!M189,IF('Benefits Master'!L189="End of Month",EOMONTH(TODAY(),0),IF('Benefits Master'!L189="End of Quarter",EOMONTH(DATE(YEAR(TODAY()),ROUNDUP(MONTH(TODAY())/3,0)*3,1),0),IF('Benefits Master'!L189="June 30",DATE(YEAR(TODAY()),6,30),IF('Benefits Master'!L189="Dec 31",DATE(YEAR(TODAY()),12,31),IF('Benefits Master'!L189="Card Anniversary","Enter open date",IF('Benefits Master'!L189="Specific Date","Set specific date",DATE(YEAR(TODAY()),12,31)))))))))</x:f>
      </x:c>
      <x:c r="I189" t="str">
        <x:f>IF(A189="","",'Benefits Master'!H189)</x:f>
      </x:c>
      <x:c r="J189" t="str">
        <x:f>IF(A189="","",SUMIFS('Benefit Usage Log'!$H:$H,'Benefit Usage Log'!$E:$E,A189,'Benefit Usage Log'!$G:$G,G189))</x:f>
      </x:c>
      <x:c r="K189" t="str">
        <x:f>IF(A189="","",MAX(0,I189-J189))</x:f>
      </x:c>
      <x:c r="L189" t="str">
        <x:f>IF(A189="","",IF(I189=0,0,MIN(1,J189/I189)))</x:f>
      </x:c>
      <x:c r="M189" t="str">
        <x:f>IF(A189="","",IF(ISNUMBER(H189)=FALSE,"Review Terms",IF(J189&gt;=I189,"Used",IF(AND(J189&gt;0,J189&lt;I189,H189&lt;TODAY()),"Missed",IF(AND(J189=0,H189&lt;TODAY()),"Missed",IF(AND(I189-J189&gt;0,H189-TODAY()&lt;='Benefits Master'!N189),"Expiring Soon",IF(J189&gt;0,"Partially Used","Not Used")))))))</x:f>
      </x:c>
      <x:c r="N189" t="str">
        <x:f>IF(A189="","",IF(ISNUMBER(H189),H189-TODAY(),""))</x:f>
      </x:c>
      <x:c r="O189" t="str">
        <x:f>IF(A189="","",'Benefits Master'!P189)</x:f>
      </x:c>
      <x:c r="P189" t="str">
        <x:f>IF(A189="","",'Benefits Master'!Q189)</x:f>
      </x:c>
      <x:c r="Q189" t="str">
        <x:f>IF(A189="","",'Benefits Master'!S189)</x:f>
      </x:c>
    </x:row>
    <x:row r="190">
      <x:c r="A190" t="str">
        <x:f>IF('Benefits Master'!A190="","",'Benefits Master'!A190)</x:f>
      </x:c>
      <x:c r="B190" t="str">
        <x:f>IF(A190="","",'Benefits Master'!B190)</x:f>
      </x:c>
      <x:c r="C190" t="str">
        <x:f>IF(A190="","",'Benefits Master'!D190)</x:f>
      </x:c>
      <x:c r="D190" t="str">
        <x:f>IF(A190="","",'Benefits Master'!E190)</x:f>
      </x:c>
      <x:c r="E190" t="str">
        <x:f>IF(A190="","",'Benefits Master'!J190)</x:f>
      </x:c>
      <x:c r="F190" t="str">
        <x:f>IF(A190="","",'Benefits Master'!K190)</x:f>
      </x:c>
      <x:c r="G190" t="str">
        <x:f>IF(A190="","",IF(F190="Jan-Jun",YEAR(TODAY())&amp;"-H1",IF(F190="Jul-Dec",YEAR(TODAY())&amp;"-H2",IF(E190="Monthly",TEXT(TODAY(),"yyyy-mm"),IF(E190="Quarterly",YEAR(TODAY())&amp;"-Q"&amp;ROUNDUP(MONTH(TODAY())/3,0),IF(E190="Semiannual",IF(MONTH(TODAY())&lt;=6,YEAR(TODAY())&amp;"-H1",YEAR(TODAY())&amp;"-H2"),IF(E190="Annual",YEAR(TODAY()),IF(E190="One-time","One-time","Custom"))))))))</x:f>
      </x:c>
      <x:c r="H190" t="str">
        <x:f>IF(A190="","",IF('Benefits Master'!M190&lt;&gt;"",'Benefits Master'!M190,IF('Benefits Master'!L190="End of Month",EOMONTH(TODAY(),0),IF('Benefits Master'!L190="End of Quarter",EOMONTH(DATE(YEAR(TODAY()),ROUNDUP(MONTH(TODAY())/3,0)*3,1),0),IF('Benefits Master'!L190="June 30",DATE(YEAR(TODAY()),6,30),IF('Benefits Master'!L190="Dec 31",DATE(YEAR(TODAY()),12,31),IF('Benefits Master'!L190="Card Anniversary","Enter open date",IF('Benefits Master'!L190="Specific Date","Set specific date",DATE(YEAR(TODAY()),12,31)))))))))</x:f>
      </x:c>
      <x:c r="I190" t="str">
        <x:f>IF(A190="","",'Benefits Master'!H190)</x:f>
      </x:c>
      <x:c r="J190" t="str">
        <x:f>IF(A190="","",SUMIFS('Benefit Usage Log'!$H:$H,'Benefit Usage Log'!$E:$E,A190,'Benefit Usage Log'!$G:$G,G190))</x:f>
      </x:c>
      <x:c r="K190" t="str">
        <x:f>IF(A190="","",MAX(0,I190-J190))</x:f>
      </x:c>
      <x:c r="L190" t="str">
        <x:f>IF(A190="","",IF(I190=0,0,MIN(1,J190/I190)))</x:f>
      </x:c>
      <x:c r="M190" t="str">
        <x:f>IF(A190="","",IF(ISNUMBER(H190)=FALSE,"Review Terms",IF(J190&gt;=I190,"Used",IF(AND(J190&gt;0,J190&lt;I190,H190&lt;TODAY()),"Missed",IF(AND(J190=0,H190&lt;TODAY()),"Missed",IF(AND(I190-J190&gt;0,H190-TODAY()&lt;='Benefits Master'!N190),"Expiring Soon",IF(J190&gt;0,"Partially Used","Not Used")))))))</x:f>
      </x:c>
      <x:c r="N190" t="str">
        <x:f>IF(A190="","",IF(ISNUMBER(H190),H190-TODAY(),""))</x:f>
      </x:c>
      <x:c r="O190" t="str">
        <x:f>IF(A190="","",'Benefits Master'!P190)</x:f>
      </x:c>
      <x:c r="P190" t="str">
        <x:f>IF(A190="","",'Benefits Master'!Q190)</x:f>
      </x:c>
      <x:c r="Q190" t="str">
        <x:f>IF(A190="","",'Benefits Master'!S190)</x:f>
      </x:c>
    </x:row>
    <x:row r="191">
      <x:c r="A191" t="str">
        <x:f>IF('Benefits Master'!A191="","",'Benefits Master'!A191)</x:f>
      </x:c>
      <x:c r="B191" t="str">
        <x:f>IF(A191="","",'Benefits Master'!B191)</x:f>
      </x:c>
      <x:c r="C191" t="str">
        <x:f>IF(A191="","",'Benefits Master'!D191)</x:f>
      </x:c>
      <x:c r="D191" t="str">
        <x:f>IF(A191="","",'Benefits Master'!E191)</x:f>
      </x:c>
      <x:c r="E191" t="str">
        <x:f>IF(A191="","",'Benefits Master'!J191)</x:f>
      </x:c>
      <x:c r="F191" t="str">
        <x:f>IF(A191="","",'Benefits Master'!K191)</x:f>
      </x:c>
      <x:c r="G191" t="str">
        <x:f>IF(A191="","",IF(F191="Jan-Jun",YEAR(TODAY())&amp;"-H1",IF(F191="Jul-Dec",YEAR(TODAY())&amp;"-H2",IF(E191="Monthly",TEXT(TODAY(),"yyyy-mm"),IF(E191="Quarterly",YEAR(TODAY())&amp;"-Q"&amp;ROUNDUP(MONTH(TODAY())/3,0),IF(E191="Semiannual",IF(MONTH(TODAY())&lt;=6,YEAR(TODAY())&amp;"-H1",YEAR(TODAY())&amp;"-H2"),IF(E191="Annual",YEAR(TODAY()),IF(E191="One-time","One-time","Custom"))))))))</x:f>
      </x:c>
      <x:c r="H191" t="str">
        <x:f>IF(A191="","",IF('Benefits Master'!M191&lt;&gt;"",'Benefits Master'!M191,IF('Benefits Master'!L191="End of Month",EOMONTH(TODAY(),0),IF('Benefits Master'!L191="End of Quarter",EOMONTH(DATE(YEAR(TODAY()),ROUNDUP(MONTH(TODAY())/3,0)*3,1),0),IF('Benefits Master'!L191="June 30",DATE(YEAR(TODAY()),6,30),IF('Benefits Master'!L191="Dec 31",DATE(YEAR(TODAY()),12,31),IF('Benefits Master'!L191="Card Anniversary","Enter open date",IF('Benefits Master'!L191="Specific Date","Set specific date",DATE(YEAR(TODAY()),12,31)))))))))</x:f>
      </x:c>
      <x:c r="I191" t="str">
        <x:f>IF(A191="","",'Benefits Master'!H191)</x:f>
      </x:c>
      <x:c r="J191" t="str">
        <x:f>IF(A191="","",SUMIFS('Benefit Usage Log'!$H:$H,'Benefit Usage Log'!$E:$E,A191,'Benefit Usage Log'!$G:$G,G191))</x:f>
      </x:c>
      <x:c r="K191" t="str">
        <x:f>IF(A191="","",MAX(0,I191-J191))</x:f>
      </x:c>
      <x:c r="L191" t="str">
        <x:f>IF(A191="","",IF(I191=0,0,MIN(1,J191/I191)))</x:f>
      </x:c>
      <x:c r="M191" t="str">
        <x:f>IF(A191="","",IF(ISNUMBER(H191)=FALSE,"Review Terms",IF(J191&gt;=I191,"Used",IF(AND(J191&gt;0,J191&lt;I191,H191&lt;TODAY()),"Missed",IF(AND(J191=0,H191&lt;TODAY()),"Missed",IF(AND(I191-J191&gt;0,H191-TODAY()&lt;='Benefits Master'!N191),"Expiring Soon",IF(J191&gt;0,"Partially Used","Not Used")))))))</x:f>
      </x:c>
      <x:c r="N191" t="str">
        <x:f>IF(A191="","",IF(ISNUMBER(H191),H191-TODAY(),""))</x:f>
      </x:c>
      <x:c r="O191" t="str">
        <x:f>IF(A191="","",'Benefits Master'!P191)</x:f>
      </x:c>
      <x:c r="P191" t="str">
        <x:f>IF(A191="","",'Benefits Master'!Q191)</x:f>
      </x:c>
      <x:c r="Q191" t="str">
        <x:f>IF(A191="","",'Benefits Master'!S191)</x:f>
      </x:c>
    </x:row>
    <x:row r="192">
      <x:c r="A192" t="str">
        <x:f>IF('Benefits Master'!A192="","",'Benefits Master'!A192)</x:f>
      </x:c>
      <x:c r="B192" t="str">
        <x:f>IF(A192="","",'Benefits Master'!B192)</x:f>
      </x:c>
      <x:c r="C192" t="str">
        <x:f>IF(A192="","",'Benefits Master'!D192)</x:f>
      </x:c>
      <x:c r="D192" t="str">
        <x:f>IF(A192="","",'Benefits Master'!E192)</x:f>
      </x:c>
      <x:c r="E192" t="str">
        <x:f>IF(A192="","",'Benefits Master'!J192)</x:f>
      </x:c>
      <x:c r="F192" t="str">
        <x:f>IF(A192="","",'Benefits Master'!K192)</x:f>
      </x:c>
      <x:c r="G192" t="str">
        <x:f>IF(A192="","",IF(F192="Jan-Jun",YEAR(TODAY())&amp;"-H1",IF(F192="Jul-Dec",YEAR(TODAY())&amp;"-H2",IF(E192="Monthly",TEXT(TODAY(),"yyyy-mm"),IF(E192="Quarterly",YEAR(TODAY())&amp;"-Q"&amp;ROUNDUP(MONTH(TODAY())/3,0),IF(E192="Semiannual",IF(MONTH(TODAY())&lt;=6,YEAR(TODAY())&amp;"-H1",YEAR(TODAY())&amp;"-H2"),IF(E192="Annual",YEAR(TODAY()),IF(E192="One-time","One-time","Custom"))))))))</x:f>
      </x:c>
      <x:c r="H192" t="str">
        <x:f>IF(A192="","",IF('Benefits Master'!M192&lt;&gt;"",'Benefits Master'!M192,IF('Benefits Master'!L192="End of Month",EOMONTH(TODAY(),0),IF('Benefits Master'!L192="End of Quarter",EOMONTH(DATE(YEAR(TODAY()),ROUNDUP(MONTH(TODAY())/3,0)*3,1),0),IF('Benefits Master'!L192="June 30",DATE(YEAR(TODAY()),6,30),IF('Benefits Master'!L192="Dec 31",DATE(YEAR(TODAY()),12,31),IF('Benefits Master'!L192="Card Anniversary","Enter open date",IF('Benefits Master'!L192="Specific Date","Set specific date",DATE(YEAR(TODAY()),12,31)))))))))</x:f>
      </x:c>
      <x:c r="I192" t="str">
        <x:f>IF(A192="","",'Benefits Master'!H192)</x:f>
      </x:c>
      <x:c r="J192" t="str">
        <x:f>IF(A192="","",SUMIFS('Benefit Usage Log'!$H:$H,'Benefit Usage Log'!$E:$E,A192,'Benefit Usage Log'!$G:$G,G192))</x:f>
      </x:c>
      <x:c r="K192" t="str">
        <x:f>IF(A192="","",MAX(0,I192-J192))</x:f>
      </x:c>
      <x:c r="L192" t="str">
        <x:f>IF(A192="","",IF(I192=0,0,MIN(1,J192/I192)))</x:f>
      </x:c>
      <x:c r="M192" t="str">
        <x:f>IF(A192="","",IF(ISNUMBER(H192)=FALSE,"Review Terms",IF(J192&gt;=I192,"Used",IF(AND(J192&gt;0,J192&lt;I192,H192&lt;TODAY()),"Missed",IF(AND(J192=0,H192&lt;TODAY()),"Missed",IF(AND(I192-J192&gt;0,H192-TODAY()&lt;='Benefits Master'!N192),"Expiring Soon",IF(J192&gt;0,"Partially Used","Not Used")))))))</x:f>
      </x:c>
      <x:c r="N192" t="str">
        <x:f>IF(A192="","",IF(ISNUMBER(H192),H192-TODAY(),""))</x:f>
      </x:c>
      <x:c r="O192" t="str">
        <x:f>IF(A192="","",'Benefits Master'!P192)</x:f>
      </x:c>
      <x:c r="P192" t="str">
        <x:f>IF(A192="","",'Benefits Master'!Q192)</x:f>
      </x:c>
      <x:c r="Q192" t="str">
        <x:f>IF(A192="","",'Benefits Master'!S192)</x:f>
      </x:c>
    </x:row>
    <x:row r="193">
      <x:c r="A193" t="str">
        <x:f>IF('Benefits Master'!A193="","",'Benefits Master'!A193)</x:f>
      </x:c>
      <x:c r="B193" t="str">
        <x:f>IF(A193="","",'Benefits Master'!B193)</x:f>
      </x:c>
      <x:c r="C193" t="str">
        <x:f>IF(A193="","",'Benefits Master'!D193)</x:f>
      </x:c>
      <x:c r="D193" t="str">
        <x:f>IF(A193="","",'Benefits Master'!E193)</x:f>
      </x:c>
      <x:c r="E193" t="str">
        <x:f>IF(A193="","",'Benefits Master'!J193)</x:f>
      </x:c>
      <x:c r="F193" t="str">
        <x:f>IF(A193="","",'Benefits Master'!K193)</x:f>
      </x:c>
      <x:c r="G193" t="str">
        <x:f>IF(A193="","",IF(F193="Jan-Jun",YEAR(TODAY())&amp;"-H1",IF(F193="Jul-Dec",YEAR(TODAY())&amp;"-H2",IF(E193="Monthly",TEXT(TODAY(),"yyyy-mm"),IF(E193="Quarterly",YEAR(TODAY())&amp;"-Q"&amp;ROUNDUP(MONTH(TODAY())/3,0),IF(E193="Semiannual",IF(MONTH(TODAY())&lt;=6,YEAR(TODAY())&amp;"-H1",YEAR(TODAY())&amp;"-H2"),IF(E193="Annual",YEAR(TODAY()),IF(E193="One-time","One-time","Custom"))))))))</x:f>
      </x:c>
      <x:c r="H193" t="str">
        <x:f>IF(A193="","",IF('Benefits Master'!M193&lt;&gt;"",'Benefits Master'!M193,IF('Benefits Master'!L193="End of Month",EOMONTH(TODAY(),0),IF('Benefits Master'!L193="End of Quarter",EOMONTH(DATE(YEAR(TODAY()),ROUNDUP(MONTH(TODAY())/3,0)*3,1),0),IF('Benefits Master'!L193="June 30",DATE(YEAR(TODAY()),6,30),IF('Benefits Master'!L193="Dec 31",DATE(YEAR(TODAY()),12,31),IF('Benefits Master'!L193="Card Anniversary","Enter open date",IF('Benefits Master'!L193="Specific Date","Set specific date",DATE(YEAR(TODAY()),12,31)))))))))</x:f>
      </x:c>
      <x:c r="I193" t="str">
        <x:f>IF(A193="","",'Benefits Master'!H193)</x:f>
      </x:c>
      <x:c r="J193" t="str">
        <x:f>IF(A193="","",SUMIFS('Benefit Usage Log'!$H:$H,'Benefit Usage Log'!$E:$E,A193,'Benefit Usage Log'!$G:$G,G193))</x:f>
      </x:c>
      <x:c r="K193" t="str">
        <x:f>IF(A193="","",MAX(0,I193-J193))</x:f>
      </x:c>
      <x:c r="L193" t="str">
        <x:f>IF(A193="","",IF(I193=0,0,MIN(1,J193/I193)))</x:f>
      </x:c>
      <x:c r="M193" t="str">
        <x:f>IF(A193="","",IF(ISNUMBER(H193)=FALSE,"Review Terms",IF(J193&gt;=I193,"Used",IF(AND(J193&gt;0,J193&lt;I193,H193&lt;TODAY()),"Missed",IF(AND(J193=0,H193&lt;TODAY()),"Missed",IF(AND(I193-J193&gt;0,H193-TODAY()&lt;='Benefits Master'!N193),"Expiring Soon",IF(J193&gt;0,"Partially Used","Not Used")))))))</x:f>
      </x:c>
      <x:c r="N193" t="str">
        <x:f>IF(A193="","",IF(ISNUMBER(H193),H193-TODAY(),""))</x:f>
      </x:c>
      <x:c r="O193" t="str">
        <x:f>IF(A193="","",'Benefits Master'!P193)</x:f>
      </x:c>
      <x:c r="P193" t="str">
        <x:f>IF(A193="","",'Benefits Master'!Q193)</x:f>
      </x:c>
      <x:c r="Q193" t="str">
        <x:f>IF(A193="","",'Benefits Master'!S193)</x:f>
      </x:c>
    </x:row>
    <x:row r="194">
      <x:c r="A194" t="str">
        <x:f>IF('Benefits Master'!A194="","",'Benefits Master'!A194)</x:f>
      </x:c>
      <x:c r="B194" t="str">
        <x:f>IF(A194="","",'Benefits Master'!B194)</x:f>
      </x:c>
      <x:c r="C194" t="str">
        <x:f>IF(A194="","",'Benefits Master'!D194)</x:f>
      </x:c>
      <x:c r="D194" t="str">
        <x:f>IF(A194="","",'Benefits Master'!E194)</x:f>
      </x:c>
      <x:c r="E194" t="str">
        <x:f>IF(A194="","",'Benefits Master'!J194)</x:f>
      </x:c>
      <x:c r="F194" t="str">
        <x:f>IF(A194="","",'Benefits Master'!K194)</x:f>
      </x:c>
      <x:c r="G194" t="str">
        <x:f>IF(A194="","",IF(F194="Jan-Jun",YEAR(TODAY())&amp;"-H1",IF(F194="Jul-Dec",YEAR(TODAY())&amp;"-H2",IF(E194="Monthly",TEXT(TODAY(),"yyyy-mm"),IF(E194="Quarterly",YEAR(TODAY())&amp;"-Q"&amp;ROUNDUP(MONTH(TODAY())/3,0),IF(E194="Semiannual",IF(MONTH(TODAY())&lt;=6,YEAR(TODAY())&amp;"-H1",YEAR(TODAY())&amp;"-H2"),IF(E194="Annual",YEAR(TODAY()),IF(E194="One-time","One-time","Custom"))))))))</x:f>
      </x:c>
      <x:c r="H194" t="str">
        <x:f>IF(A194="","",IF('Benefits Master'!M194&lt;&gt;"",'Benefits Master'!M194,IF('Benefits Master'!L194="End of Month",EOMONTH(TODAY(),0),IF('Benefits Master'!L194="End of Quarter",EOMONTH(DATE(YEAR(TODAY()),ROUNDUP(MONTH(TODAY())/3,0)*3,1),0),IF('Benefits Master'!L194="June 30",DATE(YEAR(TODAY()),6,30),IF('Benefits Master'!L194="Dec 31",DATE(YEAR(TODAY()),12,31),IF('Benefits Master'!L194="Card Anniversary","Enter open date",IF('Benefits Master'!L194="Specific Date","Set specific date",DATE(YEAR(TODAY()),12,31)))))))))</x:f>
      </x:c>
      <x:c r="I194" t="str">
        <x:f>IF(A194="","",'Benefits Master'!H194)</x:f>
      </x:c>
      <x:c r="J194" t="str">
        <x:f>IF(A194="","",SUMIFS('Benefit Usage Log'!$H:$H,'Benefit Usage Log'!$E:$E,A194,'Benefit Usage Log'!$G:$G,G194))</x:f>
      </x:c>
      <x:c r="K194" t="str">
        <x:f>IF(A194="","",MAX(0,I194-J194))</x:f>
      </x:c>
      <x:c r="L194" t="str">
        <x:f>IF(A194="","",IF(I194=0,0,MIN(1,J194/I194)))</x:f>
      </x:c>
      <x:c r="M194" t="str">
        <x:f>IF(A194="","",IF(ISNUMBER(H194)=FALSE,"Review Terms",IF(J194&gt;=I194,"Used",IF(AND(J194&gt;0,J194&lt;I194,H194&lt;TODAY()),"Missed",IF(AND(J194=0,H194&lt;TODAY()),"Missed",IF(AND(I194-J194&gt;0,H194-TODAY()&lt;='Benefits Master'!N194),"Expiring Soon",IF(J194&gt;0,"Partially Used","Not Used")))))))</x:f>
      </x:c>
      <x:c r="N194" t="str">
        <x:f>IF(A194="","",IF(ISNUMBER(H194),H194-TODAY(),""))</x:f>
      </x:c>
      <x:c r="O194" t="str">
        <x:f>IF(A194="","",'Benefits Master'!P194)</x:f>
      </x:c>
      <x:c r="P194" t="str">
        <x:f>IF(A194="","",'Benefits Master'!Q194)</x:f>
      </x:c>
      <x:c r="Q194" t="str">
        <x:f>IF(A194="","",'Benefits Master'!S194)</x:f>
      </x:c>
    </x:row>
    <x:row r="195">
      <x:c r="A195" t="str">
        <x:f>IF('Benefits Master'!A195="","",'Benefits Master'!A195)</x:f>
      </x:c>
      <x:c r="B195" t="str">
        <x:f>IF(A195="","",'Benefits Master'!B195)</x:f>
      </x:c>
      <x:c r="C195" t="str">
        <x:f>IF(A195="","",'Benefits Master'!D195)</x:f>
      </x:c>
      <x:c r="D195" t="str">
        <x:f>IF(A195="","",'Benefits Master'!E195)</x:f>
      </x:c>
      <x:c r="E195" t="str">
        <x:f>IF(A195="","",'Benefits Master'!J195)</x:f>
      </x:c>
      <x:c r="F195" t="str">
        <x:f>IF(A195="","",'Benefits Master'!K195)</x:f>
      </x:c>
      <x:c r="G195" t="str">
        <x:f>IF(A195="","",IF(F195="Jan-Jun",YEAR(TODAY())&amp;"-H1",IF(F195="Jul-Dec",YEAR(TODAY())&amp;"-H2",IF(E195="Monthly",TEXT(TODAY(),"yyyy-mm"),IF(E195="Quarterly",YEAR(TODAY())&amp;"-Q"&amp;ROUNDUP(MONTH(TODAY())/3,0),IF(E195="Semiannual",IF(MONTH(TODAY())&lt;=6,YEAR(TODAY())&amp;"-H1",YEAR(TODAY())&amp;"-H2"),IF(E195="Annual",YEAR(TODAY()),IF(E195="One-time","One-time","Custom"))))))))</x:f>
      </x:c>
      <x:c r="H195" t="str">
        <x:f>IF(A195="","",IF('Benefits Master'!M195&lt;&gt;"",'Benefits Master'!M195,IF('Benefits Master'!L195="End of Month",EOMONTH(TODAY(),0),IF('Benefits Master'!L195="End of Quarter",EOMONTH(DATE(YEAR(TODAY()),ROUNDUP(MONTH(TODAY())/3,0)*3,1),0),IF('Benefits Master'!L195="June 30",DATE(YEAR(TODAY()),6,30),IF('Benefits Master'!L195="Dec 31",DATE(YEAR(TODAY()),12,31),IF('Benefits Master'!L195="Card Anniversary","Enter open date",IF('Benefits Master'!L195="Specific Date","Set specific date",DATE(YEAR(TODAY()),12,31)))))))))</x:f>
      </x:c>
      <x:c r="I195" t="str">
        <x:f>IF(A195="","",'Benefits Master'!H195)</x:f>
      </x:c>
      <x:c r="J195" t="str">
        <x:f>IF(A195="","",SUMIFS('Benefit Usage Log'!$H:$H,'Benefit Usage Log'!$E:$E,A195,'Benefit Usage Log'!$G:$G,G195))</x:f>
      </x:c>
      <x:c r="K195" t="str">
        <x:f>IF(A195="","",MAX(0,I195-J195))</x:f>
      </x:c>
      <x:c r="L195" t="str">
        <x:f>IF(A195="","",IF(I195=0,0,MIN(1,J195/I195)))</x:f>
      </x:c>
      <x:c r="M195" t="str">
        <x:f>IF(A195="","",IF(ISNUMBER(H195)=FALSE,"Review Terms",IF(J195&gt;=I195,"Used",IF(AND(J195&gt;0,J195&lt;I195,H195&lt;TODAY()),"Missed",IF(AND(J195=0,H195&lt;TODAY()),"Missed",IF(AND(I195-J195&gt;0,H195-TODAY()&lt;='Benefits Master'!N195),"Expiring Soon",IF(J195&gt;0,"Partially Used","Not Used")))))))</x:f>
      </x:c>
      <x:c r="N195" t="str">
        <x:f>IF(A195="","",IF(ISNUMBER(H195),H195-TODAY(),""))</x:f>
      </x:c>
      <x:c r="O195" t="str">
        <x:f>IF(A195="","",'Benefits Master'!P195)</x:f>
      </x:c>
      <x:c r="P195" t="str">
        <x:f>IF(A195="","",'Benefits Master'!Q195)</x:f>
      </x:c>
      <x:c r="Q195" t="str">
        <x:f>IF(A195="","",'Benefits Master'!S195)</x:f>
      </x:c>
    </x:row>
    <x:row r="196">
      <x:c r="A196" t="str">
        <x:f>IF('Benefits Master'!A196="","",'Benefits Master'!A196)</x:f>
      </x:c>
      <x:c r="B196" t="str">
        <x:f>IF(A196="","",'Benefits Master'!B196)</x:f>
      </x:c>
      <x:c r="C196" t="str">
        <x:f>IF(A196="","",'Benefits Master'!D196)</x:f>
      </x:c>
      <x:c r="D196" t="str">
        <x:f>IF(A196="","",'Benefits Master'!E196)</x:f>
      </x:c>
      <x:c r="E196" t="str">
        <x:f>IF(A196="","",'Benefits Master'!J196)</x:f>
      </x:c>
      <x:c r="F196" t="str">
        <x:f>IF(A196="","",'Benefits Master'!K196)</x:f>
      </x:c>
      <x:c r="G196" t="str">
        <x:f>IF(A196="","",IF(F196="Jan-Jun",YEAR(TODAY())&amp;"-H1",IF(F196="Jul-Dec",YEAR(TODAY())&amp;"-H2",IF(E196="Monthly",TEXT(TODAY(),"yyyy-mm"),IF(E196="Quarterly",YEAR(TODAY())&amp;"-Q"&amp;ROUNDUP(MONTH(TODAY())/3,0),IF(E196="Semiannual",IF(MONTH(TODAY())&lt;=6,YEAR(TODAY())&amp;"-H1",YEAR(TODAY())&amp;"-H2"),IF(E196="Annual",YEAR(TODAY()),IF(E196="One-time","One-time","Custom"))))))))</x:f>
      </x:c>
      <x:c r="H196" t="str">
        <x:f>IF(A196="","",IF('Benefits Master'!M196&lt;&gt;"",'Benefits Master'!M196,IF('Benefits Master'!L196="End of Month",EOMONTH(TODAY(),0),IF('Benefits Master'!L196="End of Quarter",EOMONTH(DATE(YEAR(TODAY()),ROUNDUP(MONTH(TODAY())/3,0)*3,1),0),IF('Benefits Master'!L196="June 30",DATE(YEAR(TODAY()),6,30),IF('Benefits Master'!L196="Dec 31",DATE(YEAR(TODAY()),12,31),IF('Benefits Master'!L196="Card Anniversary","Enter open date",IF('Benefits Master'!L196="Specific Date","Set specific date",DATE(YEAR(TODAY()),12,31)))))))))</x:f>
      </x:c>
      <x:c r="I196" t="str">
        <x:f>IF(A196="","",'Benefits Master'!H196)</x:f>
      </x:c>
      <x:c r="J196" t="str">
        <x:f>IF(A196="","",SUMIFS('Benefit Usage Log'!$H:$H,'Benefit Usage Log'!$E:$E,A196,'Benefit Usage Log'!$G:$G,G196))</x:f>
      </x:c>
      <x:c r="K196" t="str">
        <x:f>IF(A196="","",MAX(0,I196-J196))</x:f>
      </x:c>
      <x:c r="L196" t="str">
        <x:f>IF(A196="","",IF(I196=0,0,MIN(1,J196/I196)))</x:f>
      </x:c>
      <x:c r="M196" t="str">
        <x:f>IF(A196="","",IF(ISNUMBER(H196)=FALSE,"Review Terms",IF(J196&gt;=I196,"Used",IF(AND(J196&gt;0,J196&lt;I196,H196&lt;TODAY()),"Missed",IF(AND(J196=0,H196&lt;TODAY()),"Missed",IF(AND(I196-J196&gt;0,H196-TODAY()&lt;='Benefits Master'!N196),"Expiring Soon",IF(J196&gt;0,"Partially Used","Not Used")))))))</x:f>
      </x:c>
      <x:c r="N196" t="str">
        <x:f>IF(A196="","",IF(ISNUMBER(H196),H196-TODAY(),""))</x:f>
      </x:c>
      <x:c r="O196" t="str">
        <x:f>IF(A196="","",'Benefits Master'!P196)</x:f>
      </x:c>
      <x:c r="P196" t="str">
        <x:f>IF(A196="","",'Benefits Master'!Q196)</x:f>
      </x:c>
      <x:c r="Q196" t="str">
        <x:f>IF(A196="","",'Benefits Master'!S196)</x:f>
      </x:c>
    </x:row>
    <x:row r="197">
      <x:c r="A197" t="str">
        <x:f>IF('Benefits Master'!A197="","",'Benefits Master'!A197)</x:f>
      </x:c>
      <x:c r="B197" t="str">
        <x:f>IF(A197="","",'Benefits Master'!B197)</x:f>
      </x:c>
      <x:c r="C197" t="str">
        <x:f>IF(A197="","",'Benefits Master'!D197)</x:f>
      </x:c>
      <x:c r="D197" t="str">
        <x:f>IF(A197="","",'Benefits Master'!E197)</x:f>
      </x:c>
      <x:c r="E197" t="str">
        <x:f>IF(A197="","",'Benefits Master'!J197)</x:f>
      </x:c>
      <x:c r="F197" t="str">
        <x:f>IF(A197="","",'Benefits Master'!K197)</x:f>
      </x:c>
      <x:c r="G197" t="str">
        <x:f>IF(A197="","",IF(F197="Jan-Jun",YEAR(TODAY())&amp;"-H1",IF(F197="Jul-Dec",YEAR(TODAY())&amp;"-H2",IF(E197="Monthly",TEXT(TODAY(),"yyyy-mm"),IF(E197="Quarterly",YEAR(TODAY())&amp;"-Q"&amp;ROUNDUP(MONTH(TODAY())/3,0),IF(E197="Semiannual",IF(MONTH(TODAY())&lt;=6,YEAR(TODAY())&amp;"-H1",YEAR(TODAY())&amp;"-H2"),IF(E197="Annual",YEAR(TODAY()),IF(E197="One-time","One-time","Custom"))))))))</x:f>
      </x:c>
      <x:c r="H197" t="str">
        <x:f>IF(A197="","",IF('Benefits Master'!M197&lt;&gt;"",'Benefits Master'!M197,IF('Benefits Master'!L197="End of Month",EOMONTH(TODAY(),0),IF('Benefits Master'!L197="End of Quarter",EOMONTH(DATE(YEAR(TODAY()),ROUNDUP(MONTH(TODAY())/3,0)*3,1),0),IF('Benefits Master'!L197="June 30",DATE(YEAR(TODAY()),6,30),IF('Benefits Master'!L197="Dec 31",DATE(YEAR(TODAY()),12,31),IF('Benefits Master'!L197="Card Anniversary","Enter open date",IF('Benefits Master'!L197="Specific Date","Set specific date",DATE(YEAR(TODAY()),12,31)))))))))</x:f>
      </x:c>
      <x:c r="I197" t="str">
        <x:f>IF(A197="","",'Benefits Master'!H197)</x:f>
      </x:c>
      <x:c r="J197" t="str">
        <x:f>IF(A197="","",SUMIFS('Benefit Usage Log'!$H:$H,'Benefit Usage Log'!$E:$E,A197,'Benefit Usage Log'!$G:$G,G197))</x:f>
      </x:c>
      <x:c r="K197" t="str">
        <x:f>IF(A197="","",MAX(0,I197-J197))</x:f>
      </x:c>
      <x:c r="L197" t="str">
        <x:f>IF(A197="","",IF(I197=0,0,MIN(1,J197/I197)))</x:f>
      </x:c>
      <x:c r="M197" t="str">
        <x:f>IF(A197="","",IF(ISNUMBER(H197)=FALSE,"Review Terms",IF(J197&gt;=I197,"Used",IF(AND(J197&gt;0,J197&lt;I197,H197&lt;TODAY()),"Missed",IF(AND(J197=0,H197&lt;TODAY()),"Missed",IF(AND(I197-J197&gt;0,H197-TODAY()&lt;='Benefits Master'!N197),"Expiring Soon",IF(J197&gt;0,"Partially Used","Not Used")))))))</x:f>
      </x:c>
      <x:c r="N197" t="str">
        <x:f>IF(A197="","",IF(ISNUMBER(H197),H197-TODAY(),""))</x:f>
      </x:c>
      <x:c r="O197" t="str">
        <x:f>IF(A197="","",'Benefits Master'!P197)</x:f>
      </x:c>
      <x:c r="P197" t="str">
        <x:f>IF(A197="","",'Benefits Master'!Q197)</x:f>
      </x:c>
      <x:c r="Q197" t="str">
        <x:f>IF(A197="","",'Benefits Master'!S197)</x:f>
      </x:c>
    </x:row>
    <x:row r="198">
      <x:c r="A198" t="str">
        <x:f>IF('Benefits Master'!A198="","",'Benefits Master'!A198)</x:f>
      </x:c>
      <x:c r="B198" t="str">
        <x:f>IF(A198="","",'Benefits Master'!B198)</x:f>
      </x:c>
      <x:c r="C198" t="str">
        <x:f>IF(A198="","",'Benefits Master'!D198)</x:f>
      </x:c>
      <x:c r="D198" t="str">
        <x:f>IF(A198="","",'Benefits Master'!E198)</x:f>
      </x:c>
      <x:c r="E198" t="str">
        <x:f>IF(A198="","",'Benefits Master'!J198)</x:f>
      </x:c>
      <x:c r="F198" t="str">
        <x:f>IF(A198="","",'Benefits Master'!K198)</x:f>
      </x:c>
      <x:c r="G198" t="str">
        <x:f>IF(A198="","",IF(F198="Jan-Jun",YEAR(TODAY())&amp;"-H1",IF(F198="Jul-Dec",YEAR(TODAY())&amp;"-H2",IF(E198="Monthly",TEXT(TODAY(),"yyyy-mm"),IF(E198="Quarterly",YEAR(TODAY())&amp;"-Q"&amp;ROUNDUP(MONTH(TODAY())/3,0),IF(E198="Semiannual",IF(MONTH(TODAY())&lt;=6,YEAR(TODAY())&amp;"-H1",YEAR(TODAY())&amp;"-H2"),IF(E198="Annual",YEAR(TODAY()),IF(E198="One-time","One-time","Custom"))))))))</x:f>
      </x:c>
      <x:c r="H198" t="str">
        <x:f>IF(A198="","",IF('Benefits Master'!M198&lt;&gt;"",'Benefits Master'!M198,IF('Benefits Master'!L198="End of Month",EOMONTH(TODAY(),0),IF('Benefits Master'!L198="End of Quarter",EOMONTH(DATE(YEAR(TODAY()),ROUNDUP(MONTH(TODAY())/3,0)*3,1),0),IF('Benefits Master'!L198="June 30",DATE(YEAR(TODAY()),6,30),IF('Benefits Master'!L198="Dec 31",DATE(YEAR(TODAY()),12,31),IF('Benefits Master'!L198="Card Anniversary","Enter open date",IF('Benefits Master'!L198="Specific Date","Set specific date",DATE(YEAR(TODAY()),12,31)))))))))</x:f>
      </x:c>
      <x:c r="I198" t="str">
        <x:f>IF(A198="","",'Benefits Master'!H198)</x:f>
      </x:c>
      <x:c r="J198" t="str">
        <x:f>IF(A198="","",SUMIFS('Benefit Usage Log'!$H:$H,'Benefit Usage Log'!$E:$E,A198,'Benefit Usage Log'!$G:$G,G198))</x:f>
      </x:c>
      <x:c r="K198" t="str">
        <x:f>IF(A198="","",MAX(0,I198-J198))</x:f>
      </x:c>
      <x:c r="L198" t="str">
        <x:f>IF(A198="","",IF(I198=0,0,MIN(1,J198/I198)))</x:f>
      </x:c>
      <x:c r="M198" t="str">
        <x:f>IF(A198="","",IF(ISNUMBER(H198)=FALSE,"Review Terms",IF(J198&gt;=I198,"Used",IF(AND(J198&gt;0,J198&lt;I198,H198&lt;TODAY()),"Missed",IF(AND(J198=0,H198&lt;TODAY()),"Missed",IF(AND(I198-J198&gt;0,H198-TODAY()&lt;='Benefits Master'!N198),"Expiring Soon",IF(J198&gt;0,"Partially Used","Not Used")))))))</x:f>
      </x:c>
      <x:c r="N198" t="str">
        <x:f>IF(A198="","",IF(ISNUMBER(H198),H198-TODAY(),""))</x:f>
      </x:c>
      <x:c r="O198" t="str">
        <x:f>IF(A198="","",'Benefits Master'!P198)</x:f>
      </x:c>
      <x:c r="P198" t="str">
        <x:f>IF(A198="","",'Benefits Master'!Q198)</x:f>
      </x:c>
      <x:c r="Q198" t="str">
        <x:f>IF(A198="","",'Benefits Master'!S198)</x:f>
      </x:c>
    </x:row>
    <x:row r="199">
      <x:c r="A199" t="str">
        <x:f>IF('Benefits Master'!A199="","",'Benefits Master'!A199)</x:f>
      </x:c>
      <x:c r="B199" t="str">
        <x:f>IF(A199="","",'Benefits Master'!B199)</x:f>
      </x:c>
      <x:c r="C199" t="str">
        <x:f>IF(A199="","",'Benefits Master'!D199)</x:f>
      </x:c>
      <x:c r="D199" t="str">
        <x:f>IF(A199="","",'Benefits Master'!E199)</x:f>
      </x:c>
      <x:c r="E199" t="str">
        <x:f>IF(A199="","",'Benefits Master'!J199)</x:f>
      </x:c>
      <x:c r="F199" t="str">
        <x:f>IF(A199="","",'Benefits Master'!K199)</x:f>
      </x:c>
      <x:c r="G199" t="str">
        <x:f>IF(A199="","",IF(F199="Jan-Jun",YEAR(TODAY())&amp;"-H1",IF(F199="Jul-Dec",YEAR(TODAY())&amp;"-H2",IF(E199="Monthly",TEXT(TODAY(),"yyyy-mm"),IF(E199="Quarterly",YEAR(TODAY())&amp;"-Q"&amp;ROUNDUP(MONTH(TODAY())/3,0),IF(E199="Semiannual",IF(MONTH(TODAY())&lt;=6,YEAR(TODAY())&amp;"-H1",YEAR(TODAY())&amp;"-H2"),IF(E199="Annual",YEAR(TODAY()),IF(E199="One-time","One-time","Custom"))))))))</x:f>
      </x:c>
      <x:c r="H199" t="str">
        <x:f>IF(A199="","",IF('Benefits Master'!M199&lt;&gt;"",'Benefits Master'!M199,IF('Benefits Master'!L199="End of Month",EOMONTH(TODAY(),0),IF('Benefits Master'!L199="End of Quarter",EOMONTH(DATE(YEAR(TODAY()),ROUNDUP(MONTH(TODAY())/3,0)*3,1),0),IF('Benefits Master'!L199="June 30",DATE(YEAR(TODAY()),6,30),IF('Benefits Master'!L199="Dec 31",DATE(YEAR(TODAY()),12,31),IF('Benefits Master'!L199="Card Anniversary","Enter open date",IF('Benefits Master'!L199="Specific Date","Set specific date",DATE(YEAR(TODAY()),12,31)))))))))</x:f>
      </x:c>
      <x:c r="I199" t="str">
        <x:f>IF(A199="","",'Benefits Master'!H199)</x:f>
      </x:c>
      <x:c r="J199" t="str">
        <x:f>IF(A199="","",SUMIFS('Benefit Usage Log'!$H:$H,'Benefit Usage Log'!$E:$E,A199,'Benefit Usage Log'!$G:$G,G199))</x:f>
      </x:c>
      <x:c r="K199" t="str">
        <x:f>IF(A199="","",MAX(0,I199-J199))</x:f>
      </x:c>
      <x:c r="L199" t="str">
        <x:f>IF(A199="","",IF(I199=0,0,MIN(1,J199/I199)))</x:f>
      </x:c>
      <x:c r="M199" t="str">
        <x:f>IF(A199="","",IF(ISNUMBER(H199)=FALSE,"Review Terms",IF(J199&gt;=I199,"Used",IF(AND(J199&gt;0,J199&lt;I199,H199&lt;TODAY()),"Missed",IF(AND(J199=0,H199&lt;TODAY()),"Missed",IF(AND(I199-J199&gt;0,H199-TODAY()&lt;='Benefits Master'!N199),"Expiring Soon",IF(J199&gt;0,"Partially Used","Not Used")))))))</x:f>
      </x:c>
      <x:c r="N199" t="str">
        <x:f>IF(A199="","",IF(ISNUMBER(H199),H199-TODAY(),""))</x:f>
      </x:c>
      <x:c r="O199" t="str">
        <x:f>IF(A199="","",'Benefits Master'!P199)</x:f>
      </x:c>
      <x:c r="P199" t="str">
        <x:f>IF(A199="","",'Benefits Master'!Q199)</x:f>
      </x:c>
      <x:c r="Q199" t="str">
        <x:f>IF(A199="","",'Benefits Master'!S199)</x:f>
      </x:c>
    </x:row>
    <x:row r="200">
      <x:c r="A200" t="str">
        <x:f>IF('Benefits Master'!A200="","",'Benefits Master'!A200)</x:f>
      </x:c>
      <x:c r="B200" t="str">
        <x:f>IF(A200="","",'Benefits Master'!B200)</x:f>
      </x:c>
      <x:c r="C200" t="str">
        <x:f>IF(A200="","",'Benefits Master'!D200)</x:f>
      </x:c>
      <x:c r="D200" t="str">
        <x:f>IF(A200="","",'Benefits Master'!E200)</x:f>
      </x:c>
      <x:c r="E200" t="str">
        <x:f>IF(A200="","",'Benefits Master'!J200)</x:f>
      </x:c>
      <x:c r="F200" t="str">
        <x:f>IF(A200="","",'Benefits Master'!K200)</x:f>
      </x:c>
      <x:c r="G200" t="str">
        <x:f>IF(A200="","",IF(F200="Jan-Jun",YEAR(TODAY())&amp;"-H1",IF(F200="Jul-Dec",YEAR(TODAY())&amp;"-H2",IF(E200="Monthly",TEXT(TODAY(),"yyyy-mm"),IF(E200="Quarterly",YEAR(TODAY())&amp;"-Q"&amp;ROUNDUP(MONTH(TODAY())/3,0),IF(E200="Semiannual",IF(MONTH(TODAY())&lt;=6,YEAR(TODAY())&amp;"-H1",YEAR(TODAY())&amp;"-H2"),IF(E200="Annual",YEAR(TODAY()),IF(E200="One-time","One-time","Custom"))))))))</x:f>
      </x:c>
      <x:c r="H200" t="str">
        <x:f>IF(A200="","",IF('Benefits Master'!M200&lt;&gt;"",'Benefits Master'!M200,IF('Benefits Master'!L200="End of Month",EOMONTH(TODAY(),0),IF('Benefits Master'!L200="End of Quarter",EOMONTH(DATE(YEAR(TODAY()),ROUNDUP(MONTH(TODAY())/3,0)*3,1),0),IF('Benefits Master'!L200="June 30",DATE(YEAR(TODAY()),6,30),IF('Benefits Master'!L200="Dec 31",DATE(YEAR(TODAY()),12,31),IF('Benefits Master'!L200="Card Anniversary","Enter open date",IF('Benefits Master'!L200="Specific Date","Set specific date",DATE(YEAR(TODAY()),12,31)))))))))</x:f>
      </x:c>
      <x:c r="I200" t="str">
        <x:f>IF(A200="","",'Benefits Master'!H200)</x:f>
      </x:c>
      <x:c r="J200" t="str">
        <x:f>IF(A200="","",SUMIFS('Benefit Usage Log'!$H:$H,'Benefit Usage Log'!$E:$E,A200,'Benefit Usage Log'!$G:$G,G200))</x:f>
      </x:c>
      <x:c r="K200" t="str">
        <x:f>IF(A200="","",MAX(0,I200-J200))</x:f>
      </x:c>
      <x:c r="L200" t="str">
        <x:f>IF(A200="","",IF(I200=0,0,MIN(1,J200/I200)))</x:f>
      </x:c>
      <x:c r="M200" t="str">
        <x:f>IF(A200="","",IF(ISNUMBER(H200)=FALSE,"Review Terms",IF(J200&gt;=I200,"Used",IF(AND(J200&gt;0,J200&lt;I200,H200&lt;TODAY()),"Missed",IF(AND(J200=0,H200&lt;TODAY()),"Missed",IF(AND(I200-J200&gt;0,H200-TODAY()&lt;='Benefits Master'!N200),"Expiring Soon",IF(J200&gt;0,"Partially Used","Not Used")))))))</x:f>
      </x:c>
      <x:c r="N200" t="str">
        <x:f>IF(A200="","",IF(ISNUMBER(H200),H200-TODAY(),""))</x:f>
      </x:c>
      <x:c r="O200" t="str">
        <x:f>IF(A200="","",'Benefits Master'!P200)</x:f>
      </x:c>
      <x:c r="P200" t="str">
        <x:f>IF(A200="","",'Benefits Master'!Q200)</x:f>
      </x:c>
      <x:c r="Q200" t="str">
        <x:f>IF(A200="","",'Benefits Master'!S200)</x:f>
      </x:c>
    </x:row>
  </x:sheetData>
  <x:conditionalFormatting sqref="L2:L200">
    <x:cfRule type="dataBar" priority="1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{2155E075-0CE3-A79F-75B8-3273E774AFEE}</x14:id>
        </x:ext>
      </x:extLst>
    </x:cfRule>
  </x:conditionalFormatting>
  <x:conditionalFormatting sqref="M2:M200">
    <x:cfRule type="expression" dxfId="0" priority="2">
      <x:formula>$M2="Used"</x:formula>
    </x:cfRule>
    <x:cfRule type="expression" dxfId="1" priority="3">
      <x:formula>$M2="Expiring Soon"</x:formula>
    </x:cfRule>
    <x:cfRule type="expression" dxfId="2" priority="4">
      <x:formula>$M2="Missed"</x:formula>
    </x:cfRule>
    <x:cfRule type="expression" dxfId="3" priority="5">
      <x:formula>$M2="Partially Used"</x:formula>
    </x:cfRule>
    <x:cfRule type="expression" dxfId="4" priority="6">
      <x:formula>$M2="Review Terms"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40194cef9a454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55E075-0CE3-A79F-75B8-3273E774AFEE}">
            <x14:dataBar gradient="1">
              <x14:cfvo type="min"/>
              <x14:cfvo type="max"/>
              <x14:fillColor rgb="4F81BD"/>
            </x14:dataBar>
          </x14:cfRule>
          <xm:sqref>L2:L200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Owners</x:v>
      </x:c>
      <x:c r="B1" s="6" t="str">
        <x:v>Frequency</x:v>
      </x:c>
      <x:c r="C1" s="6" t="str">
        <x:v>Cycle Rule</x:v>
      </x:c>
      <x:c r="D1" s="6" t="str">
        <x:v>Expiration Rule</x:v>
      </x:c>
      <x:c r="E1" s="6" t="str">
        <x:v>Track Type</x:v>
      </x:c>
      <x:c r="F1" s="6" t="str">
        <x:v>Priority</x:v>
      </x:c>
      <x:c r="G1" s="6" t="str">
        <x:v>Include in Alert?</x:v>
      </x:c>
      <x:c r="H1" s="6" t="str">
        <x:v>Ease of Use</x:v>
      </x:c>
      <x:c r="I1" s="6" t="str">
        <x:v>Card Status</x:v>
      </x:c>
      <x:c r="J1" s="6" t="str">
        <x:v>Usage Fully Used?</x:v>
      </x:c>
      <x:c r="K1" s="6" t="str">
        <x:v>Benefit Type</x:v>
      </x:c>
      <x:c r="L1" s="6" t="str">
        <x:v>Category</x:v>
      </x:c>
      <x:c r="M1" s="6" t="str">
        <x:v>Status</x:v>
      </x:c>
    </x:row>
    <x:row r="2">
      <x:c r="A2" t="str">
        <x:v>Person 1</x:v>
      </x:c>
      <x:c r="B2" t="str">
        <x:v>Monthly</x:v>
      </x:c>
      <x:c r="C2" t="str">
        <x:v>Calendar Month</x:v>
      </x:c>
      <x:c r="D2" t="str">
        <x:v>End of Month</x:v>
      </x:c>
      <x:c r="E2" t="str">
        <x:v>Amount</x:v>
      </x:c>
      <x:c r="F2" t="str">
        <x:v>High</x:v>
      </x:c>
      <x:c r="G2" t="str">
        <x:v>Yes</x:v>
      </x:c>
      <x:c r="H2" t="str">
        <x:v>Easy</x:v>
      </x:c>
      <x:c r="I2" t="str">
        <x:v>Active</x:v>
      </x:c>
      <x:c r="J2" t="str">
        <x:v>Yes</x:v>
      </x:c>
      <x:c r="K2" t="str">
        <x:v>Credit</x:v>
      </x:c>
      <x:c r="L2" t="str">
        <x:v>Dining</x:v>
      </x:c>
      <x:c r="M2" t="str">
        <x:v>Used</x:v>
      </x:c>
    </x:row>
    <x:row r="3">
      <x:c r="A3" t="str">
        <x:v>Person 2</x:v>
      </x:c>
      <x:c r="B3" t="str">
        <x:v>Quarterly</x:v>
      </x:c>
      <x:c r="C3" t="str">
        <x:v>Calendar Quarter</x:v>
      </x:c>
      <x:c r="D3" t="str">
        <x:v>End of Quarter</x:v>
      </x:c>
      <x:c r="E3" t="str">
        <x:v>Used/Unused</x:v>
      </x:c>
      <x:c r="F3" t="str">
        <x:v>Medium</x:v>
      </x:c>
      <x:c r="G3" t="str">
        <x:v>No</x:v>
      </x:c>
      <x:c r="H3" t="str">
        <x:v>Medium</x:v>
      </x:c>
      <x:c r="I3" t="str">
        <x:v>Closed</x:v>
      </x:c>
      <x:c r="J3" t="str">
        <x:v>No</x:v>
      </x:c>
      <x:c r="K3" t="str">
        <x:v>Reimbursement</x:v>
      </x:c>
      <x:c r="L3" t="str">
        <x:v>Travel</x:v>
      </x:c>
      <x:c r="M3" t="str">
        <x:v>Partially Used</x:v>
      </x:c>
    </x:row>
    <x:row r="4">
      <x:c r="A4" t="str">
        <x:v>Both</x:v>
      </x:c>
      <x:c r="B4" t="str">
        <x:v>Semiannual</x:v>
      </x:c>
      <x:c r="C4" t="str">
        <x:v>Jan-Jun</x:v>
      </x:c>
      <x:c r="D4" t="str">
        <x:v>June 30</x:v>
      </x:c>
      <x:c r="E4" t="str">
        <x:v>Count</x:v>
      </x:c>
      <x:c r="F4" t="str">
        <x:v>Low</x:v>
      </x:c>
      <x:c r="G4" t="str"/>
      <x:c r="H4" t="str">
        <x:v>Hard</x:v>
      </x:c>
      <x:c r="I4" t="str">
        <x:v>Considering</x:v>
      </x:c>
      <x:c r="J4" t="str"/>
      <x:c r="K4" t="str">
        <x:v>Access</x:v>
      </x:c>
      <x:c r="L4" t="str">
        <x:v>Shopping</x:v>
      </x:c>
      <x:c r="M4" t="str">
        <x:v>Not Used</x:v>
      </x:c>
    </x:row>
    <x:row r="5">
      <x:c r="A5" t="str"/>
      <x:c r="B5" t="str">
        <x:v>Annual</x:v>
      </x:c>
      <x:c r="C5" t="str">
        <x:v>Jul-Dec</x:v>
      </x:c>
      <x:c r="D5" t="str">
        <x:v>Dec 31</x:v>
      </x:c>
      <x:c r="E5" t="str">
        <x:v>Manual Note</x:v>
      </x:c>
      <x:c r="F5" t="str"/>
      <x:c r="G5" t="str"/>
      <x:c r="H5" t="str"/>
      <x:c r="I5" t="str"/>
      <x:c r="J5" t="str"/>
      <x:c r="K5" t="str">
        <x:v>Free Night</x:v>
      </x:c>
      <x:c r="L5" t="str">
        <x:v>Entertainment</x:v>
      </x:c>
      <x:c r="M5" t="str">
        <x:v>Expiring Soon</x:v>
      </x:c>
    </x:row>
    <x:row r="6">
      <x:c r="A6" t="str"/>
      <x:c r="B6" t="str">
        <x:v>One-time</x:v>
      </x:c>
      <x:c r="C6" t="str">
        <x:v>Calendar Year</x:v>
      </x:c>
      <x:c r="D6" t="str">
        <x:v>Card Anniversary</x:v>
      </x:c>
      <x:c r="E6" t="str"/>
      <x:c r="F6" t="str"/>
      <x:c r="G6" t="str"/>
      <x:c r="H6" t="str"/>
      <x:c r="I6" t="str"/>
      <x:c r="J6" t="str"/>
      <x:c r="K6" t="str">
        <x:v>Subscription</x:v>
      </x:c>
      <x:c r="L6" t="str">
        <x:v>Rideshare</x:v>
      </x:c>
      <x:c r="M6" t="str">
        <x:v>Missed</x:v>
      </x:c>
    </x:row>
    <x:row r="7">
      <x:c r="A7" t="str"/>
      <x:c r="B7" t="str">
        <x:v>Custom</x:v>
      </x:c>
      <x:c r="C7" t="str">
        <x:v>Cardmember Year</x:v>
      </x:c>
      <x:c r="D7" t="str">
        <x:v>Specific Date</x:v>
      </x:c>
      <x:c r="E7" t="str"/>
      <x:c r="F7" t="str"/>
      <x:c r="G7" t="str"/>
      <x:c r="H7" t="str"/>
      <x:c r="I7" t="str"/>
      <x:c r="J7" t="str"/>
      <x:c r="K7" t="str">
        <x:v>Status</x:v>
      </x:c>
      <x:c r="L7" t="str">
        <x:v>Hotel</x:v>
      </x:c>
      <x:c r="M7" t="str">
        <x:v>Review Terms</x:v>
      </x:c>
    </x:row>
    <x:row r="8">
      <x:c r="A8" t="str"/>
      <x:c r="B8" t="str"/>
      <x:c r="C8" t="str">
        <x:v>Specific Date Range</x:v>
      </x:c>
      <x:c r="D8" t="str"/>
      <x:c r="E8" t="str"/>
      <x:c r="F8" t="str"/>
      <x:c r="G8" t="str"/>
      <x:c r="H8" t="str"/>
      <x:c r="I8" t="str"/>
      <x:c r="J8" t="str"/>
      <x:c r="K8" t="str">
        <x:v>Offer</x:v>
      </x:c>
      <x:c r="L8" t="str">
        <x:v>Airline</x:v>
      </x:c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>
        <x:v>Insurance</x:v>
      </x:c>
      <x:c r="L9" t="str">
        <x:v>Other</x:v>
      </x:c>
      <x:c r="M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95" hidden="0" customWidth="1"/>
    <x:col min="4" max="4" width="62" hidden="0" customWidth="1"/>
  </x:cols>
  <x:sheetData>
    <x:row r="1">
      <x:c r="A1" s="6" t="str">
        <x:v>Source ID</x:v>
      </x:c>
      <x:c r="B1" s="6" t="str">
        <x:v>Issuer / Card</x:v>
      </x:c>
      <x:c r="C1" s="6" t="str">
        <x:v>Source URL</x:v>
      </x:c>
      <x:c r="D1" s="6" t="str">
        <x:v>Notes</x:v>
      </x:c>
    </x:row>
    <x:row r="2">
      <x:c r="A2" t="str">
        <x:v>AMEX_GOLD</x:v>
      </x:c>
      <x:c r="B2" t="str">
        <x:v>Amex Gold</x:v>
      </x:c>
      <x:c r="C2" t="str">
        <x:v>https://global.americanexpress.com/card-benefits/detail/dining-credit/gold | https://global.americanexpress.com/card-benefits/detail/uber-cash/gold | https://global.americanexpress.com/card-benefits/detail/dunkin-credit/gold | https://global.americanexpress.com/card-benefits/detail/resy-credit/gold</x:v>
      </x:c>
      <x:c r="D2" t="str">
        <x:v>Gold recurring credits: dining, Uber Cash, Dunkin, Resy.</x:v>
      </x:c>
    </x:row>
    <x:row r="3">
      <x:c r="A3" t="str">
        <x:v>AMEX_PLATINUM</x:v>
      </x:c>
      <x:c r="B3" t="str">
        <x:v>Amex Platinum</x:v>
      </x:c>
      <x:c r="C3" t="str">
        <x:v>https://global.americanexpress.com/card-benefits/view-all/platinum | https://www.americanexpress.com/us/credit-cards/card/platinum/ | https://www.americanexpress.com/en-us/travel/benefits/how-to-use-hotel-credit/</x:v>
      </x:c>
      <x:c r="D3" t="str">
        <x:v>Platinum credits and hotel credit.</x:v>
      </x:c>
    </x:row>
    <x:row r="4">
      <x:c r="A4" t="str">
        <x:v>CHASE_CSP</x:v>
      </x:c>
      <x:c r="B4" t="str">
        <x:v>Chase Sapphire Preferred</x:v>
      </x:c>
      <x:c r="C4" t="str">
        <x:v>https://account.chase.com/sapphire/preferred/benefits</x:v>
      </x:c>
      <x:c r="D4" t="str">
        <x:v>Preferred benefits including $50 hotel credit.</x:v>
      </x:c>
    </x:row>
    <x:row r="5">
      <x:c r="A5" t="str">
        <x:v>CHASE_CSR</x:v>
      </x:c>
      <x:c r="B5" t="str">
        <x:v>Chase Sapphire Reserve</x:v>
      </x:c>
      <x:c r="C5" t="str">
        <x:v>https://account.chase.com/sapphire/reserve/benefits | https://account.chase.com/sapphire/reserve/disclosures | https://creditcards.chase.com/rewards-credit-cards/sapphire/reserve</x:v>
      </x:c>
      <x:c r="D5" t="str">
        <x:v>Reserve travel, dining, DoorDash, Lyft, Peloton, StubHub, Apple, hotel credits.</x:v>
      </x:c>
    </x:row>
    <x:row r="6">
      <x:c r="A6" t="str">
        <x:v>UNITED_QUEST</x:v>
      </x:c>
      <x:c r="B6" t="str">
        <x:v>United Quest</x:v>
      </x:c>
      <x:c r="C6" t="str">
        <x:v>https://www.chase.com/personal/credit-cards/united/united-quest-card | https://creditcards.chase.com/travel-credit-cards/united/united-quest | https://cardmembers.united.com/Quest</x:v>
      </x:c>
      <x:c r="D6" t="str">
        <x:v>United Quest credits and travel benefits.</x:v>
      </x:c>
    </x:row>
    <x:row r="7">
      <x:c r="A7" t="str">
        <x:v>MARRIOTT_BOUNDLESS</x:v>
      </x:c>
      <x:c r="B7" t="str">
        <x:v>Marriott Boundless</x:v>
      </x:c>
      <x:c r="C7" t="str">
        <x:v>https://www.marriott.com/credit-cards/chase-credit-cards.mi</x:v>
      </x:c>
      <x:c r="D7" t="str">
        <x:v>Assumed card type for Chase Marriott cards.</x:v>
      </x:c>
    </x:row>
    <x:row r="8">
      <x:c r="A8" t="str">
        <x:v>HYATT</x:v>
      </x:c>
      <x:c r="B8" t="str">
        <x:v>World of Hyatt</x:v>
      </x:c>
      <x:c r="C8" t="str">
        <x:v>https://world.hyatt.com/content/gp/en/rewards/hyatt-credit-card.html | https://creditcards.chase.com/travel-credit-cards/world-of-hyatt-credit-card</x:v>
      </x:c>
      <x:c r="D8" t="str">
        <x:v>Hyatt free night and statement credits.</x:v>
      </x:c>
    </x:row>
    <x:row r="9">
      <x:c r="A9" t="str">
        <x:v>HILTON_SURPASS</x:v>
      </x:c>
      <x:c r="B9" t="str">
        <x:v>Hilton Surpass</x:v>
      </x:c>
      <x:c r="C9" t="str">
        <x:v>https://global.americanexpress.com/card-benefits/view-all/hilton-surpass | https://global.americanexpress.com/card-benefits/detail/earn-free-weekend-night-15k/hilton-surpass</x:v>
      </x:c>
      <x:c r="D9" t="str">
        <x:v>Assumed card type for Amex Hilton.</x:v>
      </x:c>
    </x:row>
    <x:row r="10">
      <x:c r="A10" t="str">
        <x:v>USB_ALTITUDE</x:v>
      </x:c>
      <x:c r="B10" t="str">
        <x:v>U.S. Bank Altitude Reserve</x:v>
      </x:c>
      <x:c r="C10" t="str">
        <x:v>https://rewards.usbank.com/benefits/card/AltitudeReserveBenefits</x:v>
      </x:c>
      <x:c r="D10" t="str">
        <x:v>Annual credit and Visa Infinite benefits.</x:v>
      </x:c>
    </x:row>
  </x:sheetData>
  <x:pageMargins left="0.7" right="0.7" top="0.75" bottom="0.75" header="0.3" footer="0.3"/>
  <x:tableParts count="1">
    <x:tablePart xmlns:r="http://schemas.openxmlformats.org/officeDocument/2006/relationships" r:id="R1de0b18518654b5b"/>
  </x:tableParts>
</x:worksheet>
</file>